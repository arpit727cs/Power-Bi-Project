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pit\Desktop\Onix\"/>
    </mc:Choice>
  </mc:AlternateContent>
  <bookViews>
    <workbookView xWindow="0" yWindow="0" windowWidth="23040" windowHeight="8688" activeTab="1"/>
  </bookViews>
  <sheets>
    <sheet name="Po&amp;Project Status" sheetId="2" r:id="rId1"/>
    <sheet name="Pay" sheetId="3" r:id="rId2"/>
    <sheet name="Daily Expense" sheetId="1" r:id="rId3"/>
    <sheet name="Pivot" sheetId="6" r:id="rId4"/>
    <sheet name="21 March" sheetId="4" r:id="rId5"/>
    <sheet name="Sheet4" sheetId="7" r:id="rId6"/>
  </sheets>
  <externalReferences>
    <externalReference r:id="rId7"/>
  </externalReferences>
  <definedNames>
    <definedName name="_xlnm._FilterDatabase" localSheetId="4" hidden="1">'21 March'!$A$2:$W$135</definedName>
    <definedName name="_xlnm._FilterDatabase" localSheetId="2" hidden="1">'Daily Expense'!$A$1:$D$1</definedName>
  </definedNames>
  <calcPr calcId="152511"/>
  <pivotCaches>
    <pivotCache cacheId="0" r:id="rId8"/>
    <pivotCache cacheId="1" r:id="rId9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5" i="3" l="1"/>
  <c r="C58" i="1"/>
  <c r="D4" i="4" l="1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8" i="4"/>
  <c r="D149" i="4"/>
  <c r="D150" i="4"/>
  <c r="D151" i="4"/>
  <c r="D3" i="4"/>
  <c r="N151" i="4"/>
  <c r="R151" i="4" s="1"/>
  <c r="T151" i="4" s="1"/>
  <c r="N150" i="4"/>
  <c r="R150" i="4" s="1"/>
  <c r="T150" i="4" s="1"/>
  <c r="R149" i="4"/>
  <c r="T149" i="4" s="1"/>
  <c r="N149" i="4"/>
  <c r="R148" i="4"/>
  <c r="T148" i="4" s="1"/>
  <c r="N148" i="4"/>
  <c r="N147" i="4"/>
  <c r="R147" i="4" s="1"/>
  <c r="T147" i="4" s="1"/>
  <c r="R146" i="4"/>
  <c r="T146" i="4" s="1"/>
  <c r="N146" i="4"/>
  <c r="T145" i="4"/>
  <c r="R145" i="4"/>
  <c r="N145" i="4"/>
  <c r="T144" i="4"/>
  <c r="R144" i="4"/>
  <c r="N144" i="4"/>
  <c r="N143" i="4"/>
  <c r="R143" i="4" s="1"/>
  <c r="T143" i="4" s="1"/>
  <c r="T142" i="4"/>
  <c r="R142" i="4"/>
  <c r="N142" i="4"/>
  <c r="T141" i="4"/>
  <c r="R141" i="4"/>
  <c r="N141" i="4"/>
  <c r="T140" i="4"/>
  <c r="R140" i="4"/>
  <c r="N140" i="4"/>
  <c r="N139" i="4"/>
  <c r="R139" i="4" s="1"/>
  <c r="T139" i="4" s="1"/>
  <c r="T138" i="4"/>
  <c r="R138" i="4"/>
  <c r="N138" i="4"/>
  <c r="T137" i="4"/>
  <c r="R137" i="4"/>
  <c r="N137" i="4"/>
  <c r="T136" i="4"/>
  <c r="R136" i="4"/>
  <c r="N136" i="4"/>
  <c r="N135" i="4"/>
  <c r="R135" i="4" s="1"/>
  <c r="T135" i="4" s="1"/>
  <c r="T134" i="4"/>
  <c r="R134" i="4"/>
  <c r="N134" i="4"/>
  <c r="R133" i="4"/>
  <c r="T133" i="4" s="1"/>
  <c r="N133" i="4"/>
  <c r="N132" i="4"/>
  <c r="R132" i="4" s="1"/>
  <c r="T132" i="4" s="1"/>
  <c r="T131" i="4"/>
  <c r="R131" i="4"/>
  <c r="N131" i="4"/>
  <c r="R130" i="4"/>
  <c r="T130" i="4" s="1"/>
  <c r="N130" i="4"/>
  <c r="N129" i="4"/>
  <c r="R129" i="4" s="1"/>
  <c r="T129" i="4" s="1"/>
  <c r="T128" i="4"/>
  <c r="R128" i="4"/>
  <c r="N128" i="4"/>
  <c r="R127" i="4"/>
  <c r="T127" i="4" s="1"/>
  <c r="N127" i="4"/>
  <c r="N126" i="4"/>
  <c r="R126" i="4" s="1"/>
  <c r="T126" i="4" s="1"/>
  <c r="T125" i="4"/>
  <c r="R125" i="4"/>
  <c r="N125" i="4"/>
  <c r="R124" i="4"/>
  <c r="T124" i="4" s="1"/>
  <c r="N124" i="4"/>
  <c r="N123" i="4"/>
  <c r="R123" i="4" s="1"/>
  <c r="T123" i="4" s="1"/>
  <c r="T122" i="4"/>
  <c r="R122" i="4"/>
  <c r="N122" i="4"/>
  <c r="R121" i="4"/>
  <c r="T121" i="4" s="1"/>
  <c r="N121" i="4"/>
  <c r="N120" i="4"/>
  <c r="R120" i="4" s="1"/>
  <c r="T120" i="4" s="1"/>
  <c r="T119" i="4"/>
  <c r="R119" i="4"/>
  <c r="N119" i="4"/>
  <c r="R118" i="4"/>
  <c r="T118" i="4" s="1"/>
  <c r="N118" i="4"/>
  <c r="N117" i="4"/>
  <c r="R117" i="4" s="1"/>
  <c r="T117" i="4" s="1"/>
  <c r="R116" i="4"/>
  <c r="T116" i="4" s="1"/>
  <c r="O116" i="4"/>
  <c r="N116" i="4"/>
  <c r="M116" i="4"/>
  <c r="T115" i="4"/>
  <c r="R115" i="4"/>
  <c r="N115" i="4"/>
  <c r="N114" i="4"/>
  <c r="R114" i="4" s="1"/>
  <c r="T114" i="4" s="1"/>
  <c r="T113" i="4"/>
  <c r="R113" i="4"/>
  <c r="N113" i="4"/>
  <c r="T112" i="4"/>
  <c r="R112" i="4"/>
  <c r="N112" i="4"/>
  <c r="N111" i="4"/>
  <c r="R111" i="4" s="1"/>
  <c r="T111" i="4" s="1"/>
  <c r="T110" i="4"/>
  <c r="R110" i="4"/>
  <c r="N110" i="4"/>
  <c r="T109" i="4"/>
  <c r="R109" i="4"/>
  <c r="N109" i="4"/>
  <c r="O108" i="4"/>
  <c r="R108" i="4" s="1"/>
  <c r="T108" i="4" s="1"/>
  <c r="N108" i="4"/>
  <c r="M108" i="4"/>
  <c r="N107" i="4"/>
  <c r="R107" i="4" s="1"/>
  <c r="T107" i="4" s="1"/>
  <c r="R106" i="4"/>
  <c r="T106" i="4" s="1"/>
  <c r="N106" i="4"/>
  <c r="T105" i="4"/>
  <c r="R105" i="4"/>
  <c r="N105" i="4"/>
  <c r="N104" i="4"/>
  <c r="R104" i="4" s="1"/>
  <c r="T104" i="4" s="1"/>
  <c r="O103" i="4"/>
  <c r="M103" i="4"/>
  <c r="N103" i="4" s="1"/>
  <c r="R103" i="4" s="1"/>
  <c r="T103" i="4" s="1"/>
  <c r="N102" i="4"/>
  <c r="R102" i="4" s="1"/>
  <c r="T102" i="4" s="1"/>
  <c r="N101" i="4"/>
  <c r="R101" i="4" s="1"/>
  <c r="T101" i="4" s="1"/>
  <c r="N100" i="4"/>
  <c r="R100" i="4" s="1"/>
  <c r="T100" i="4" s="1"/>
  <c r="O99" i="4"/>
  <c r="N99" i="4"/>
  <c r="R99" i="4" s="1"/>
  <c r="T99" i="4" s="1"/>
  <c r="M99" i="4"/>
  <c r="N98" i="4"/>
  <c r="R98" i="4" s="1"/>
  <c r="T98" i="4" s="1"/>
  <c r="R97" i="4"/>
  <c r="T97" i="4" s="1"/>
  <c r="N97" i="4"/>
  <c r="R96" i="4"/>
  <c r="T96" i="4" s="1"/>
  <c r="N96" i="4"/>
  <c r="N95" i="4"/>
  <c r="R95" i="4" s="1"/>
  <c r="T95" i="4" s="1"/>
  <c r="R94" i="4"/>
  <c r="T94" i="4" s="1"/>
  <c r="N94" i="4"/>
  <c r="R93" i="4"/>
  <c r="T93" i="4" s="1"/>
  <c r="N93" i="4"/>
  <c r="N92" i="4"/>
  <c r="R92" i="4" s="1"/>
  <c r="T92" i="4" s="1"/>
  <c r="R91" i="4"/>
  <c r="T91" i="4" s="1"/>
  <c r="N91" i="4"/>
  <c r="R90" i="4"/>
  <c r="T90" i="4" s="1"/>
  <c r="N90" i="4"/>
  <c r="N89" i="4"/>
  <c r="R89" i="4" s="1"/>
  <c r="T89" i="4" s="1"/>
  <c r="R88" i="4"/>
  <c r="T88" i="4" s="1"/>
  <c r="N88" i="4"/>
  <c r="R87" i="4"/>
  <c r="T87" i="4" s="1"/>
  <c r="N87" i="4"/>
  <c r="N86" i="4"/>
  <c r="R86" i="4" s="1"/>
  <c r="T86" i="4" s="1"/>
  <c r="R85" i="4"/>
  <c r="T85" i="4" s="1"/>
  <c r="N85" i="4"/>
  <c r="R84" i="4"/>
  <c r="T84" i="4" s="1"/>
  <c r="N84" i="4"/>
  <c r="N83" i="4"/>
  <c r="R83" i="4" s="1"/>
  <c r="T83" i="4" s="1"/>
  <c r="R82" i="4"/>
  <c r="T82" i="4" s="1"/>
  <c r="N82" i="4"/>
  <c r="R81" i="4"/>
  <c r="T81" i="4" s="1"/>
  <c r="N81" i="4"/>
  <c r="N80" i="4"/>
  <c r="R80" i="4" s="1"/>
  <c r="T80" i="4" s="1"/>
  <c r="R79" i="4"/>
  <c r="T79" i="4" s="1"/>
  <c r="N79" i="4"/>
  <c r="R78" i="4"/>
  <c r="T78" i="4" s="1"/>
  <c r="N78" i="4"/>
  <c r="N77" i="4"/>
  <c r="R77" i="4" s="1"/>
  <c r="T77" i="4" s="1"/>
  <c r="R76" i="4"/>
  <c r="T76" i="4" s="1"/>
  <c r="N76" i="4"/>
  <c r="R75" i="4"/>
  <c r="T75" i="4" s="1"/>
  <c r="N75" i="4"/>
  <c r="N74" i="4"/>
  <c r="R74" i="4" s="1"/>
  <c r="T74" i="4" s="1"/>
  <c r="R73" i="4"/>
  <c r="T73" i="4" s="1"/>
  <c r="N73" i="4"/>
  <c r="R72" i="4"/>
  <c r="T72" i="4" s="1"/>
  <c r="N72" i="4"/>
  <c r="N71" i="4"/>
  <c r="R71" i="4" s="1"/>
  <c r="T71" i="4" s="1"/>
  <c r="R70" i="4"/>
  <c r="T70" i="4" s="1"/>
  <c r="N70" i="4"/>
  <c r="S69" i="4"/>
  <c r="N69" i="4"/>
  <c r="R69" i="4" s="1"/>
  <c r="T69" i="4" s="1"/>
  <c r="L69" i="4"/>
  <c r="N68" i="4"/>
  <c r="R68" i="4" s="1"/>
  <c r="T68" i="4" s="1"/>
  <c r="T67" i="4"/>
  <c r="R67" i="4"/>
  <c r="N67" i="4"/>
  <c r="R66" i="4"/>
  <c r="T66" i="4" s="1"/>
  <c r="N66" i="4"/>
  <c r="N65" i="4"/>
  <c r="R65" i="4" s="1"/>
  <c r="M65" i="4"/>
  <c r="T64" i="4"/>
  <c r="R64" i="4"/>
  <c r="N64" i="4"/>
  <c r="M64" i="4"/>
  <c r="R63" i="4"/>
  <c r="T63" i="4" s="1"/>
  <c r="O63" i="4"/>
  <c r="N63" i="4"/>
  <c r="M63" i="4"/>
  <c r="R62" i="4"/>
  <c r="T62" i="4" s="1"/>
  <c r="N62" i="4"/>
  <c r="R61" i="4"/>
  <c r="T61" i="4" s="1"/>
  <c r="N61" i="4"/>
  <c r="T60" i="4"/>
  <c r="R60" i="4"/>
  <c r="N60" i="4"/>
  <c r="R59" i="4"/>
  <c r="T59" i="4" s="1"/>
  <c r="N59" i="4"/>
  <c r="R58" i="4"/>
  <c r="T58" i="4" s="1"/>
  <c r="N58" i="4"/>
  <c r="T57" i="4"/>
  <c r="R57" i="4"/>
  <c r="N57" i="4"/>
  <c r="R56" i="4"/>
  <c r="T56" i="4" s="1"/>
  <c r="N56" i="4"/>
  <c r="R55" i="4"/>
  <c r="T55" i="4" s="1"/>
  <c r="N55" i="4"/>
  <c r="T54" i="4"/>
  <c r="R54" i="4"/>
  <c r="N54" i="4"/>
  <c r="R53" i="4"/>
  <c r="T53" i="4" s="1"/>
  <c r="N53" i="4"/>
  <c r="R52" i="4"/>
  <c r="T52" i="4" s="1"/>
  <c r="N52" i="4"/>
  <c r="T51" i="4"/>
  <c r="R51" i="4"/>
  <c r="N51" i="4"/>
  <c r="R50" i="4"/>
  <c r="T50" i="4" s="1"/>
  <c r="N50" i="4"/>
  <c r="R49" i="4"/>
  <c r="T49" i="4" s="1"/>
  <c r="N49" i="4"/>
  <c r="T48" i="4"/>
  <c r="R48" i="4"/>
  <c r="N48" i="4"/>
  <c r="R47" i="4"/>
  <c r="T47" i="4" s="1"/>
  <c r="N47" i="4"/>
  <c r="R46" i="4"/>
  <c r="T46" i="4" s="1"/>
  <c r="N46" i="4"/>
  <c r="T45" i="4"/>
  <c r="R45" i="4"/>
  <c r="N45" i="4"/>
  <c r="R44" i="4"/>
  <c r="T44" i="4" s="1"/>
  <c r="N44" i="4"/>
  <c r="R43" i="4"/>
  <c r="T43" i="4" s="1"/>
  <c r="N43" i="4"/>
  <c r="T42" i="4"/>
  <c r="R42" i="4"/>
  <c r="N42" i="4"/>
  <c r="R41" i="4"/>
  <c r="T41" i="4" s="1"/>
  <c r="N41" i="4"/>
  <c r="R40" i="4"/>
  <c r="T40" i="4" s="1"/>
  <c r="N40" i="4"/>
  <c r="T39" i="4"/>
  <c r="R39" i="4"/>
  <c r="N39" i="4"/>
  <c r="R38" i="4"/>
  <c r="T38" i="4" s="1"/>
  <c r="N38" i="4"/>
  <c r="R37" i="4"/>
  <c r="T37" i="4" s="1"/>
  <c r="N37" i="4"/>
  <c r="O36" i="4"/>
  <c r="O1" i="4" s="1"/>
  <c r="M36" i="4"/>
  <c r="N36" i="4" s="1"/>
  <c r="R36" i="4" s="1"/>
  <c r="T36" i="4" s="1"/>
  <c r="R35" i="4"/>
  <c r="T35" i="4" s="1"/>
  <c r="N35" i="4"/>
  <c r="R34" i="4"/>
  <c r="T34" i="4" s="1"/>
  <c r="N34" i="4"/>
  <c r="N33" i="4"/>
  <c r="R33" i="4" s="1"/>
  <c r="T33" i="4" s="1"/>
  <c r="R32" i="4"/>
  <c r="T32" i="4" s="1"/>
  <c r="N32" i="4"/>
  <c r="R31" i="4"/>
  <c r="T31" i="4" s="1"/>
  <c r="N31" i="4"/>
  <c r="N30" i="4"/>
  <c r="R30" i="4" s="1"/>
  <c r="T30" i="4" s="1"/>
  <c r="R29" i="4"/>
  <c r="T29" i="4" s="1"/>
  <c r="N29" i="4"/>
  <c r="R28" i="4"/>
  <c r="T28" i="4" s="1"/>
  <c r="N28" i="4"/>
  <c r="N27" i="4"/>
  <c r="R27" i="4" s="1"/>
  <c r="T27" i="4" s="1"/>
  <c r="R26" i="4"/>
  <c r="T26" i="4" s="1"/>
  <c r="N26" i="4"/>
  <c r="R25" i="4"/>
  <c r="T25" i="4" s="1"/>
  <c r="N25" i="4"/>
  <c r="N24" i="4"/>
  <c r="R24" i="4" s="1"/>
  <c r="T24" i="4" s="1"/>
  <c r="R23" i="4"/>
  <c r="T23" i="4" s="1"/>
  <c r="N23" i="4"/>
  <c r="R22" i="4"/>
  <c r="T22" i="4" s="1"/>
  <c r="N22" i="4"/>
  <c r="N21" i="4"/>
  <c r="R21" i="4" s="1"/>
  <c r="T21" i="4" s="1"/>
  <c r="R20" i="4"/>
  <c r="T20" i="4" s="1"/>
  <c r="N20" i="4"/>
  <c r="R19" i="4"/>
  <c r="T19" i="4" s="1"/>
  <c r="N19" i="4"/>
  <c r="N18" i="4"/>
  <c r="R18" i="4" s="1"/>
  <c r="T18" i="4" s="1"/>
  <c r="R17" i="4"/>
  <c r="T17" i="4" s="1"/>
  <c r="N17" i="4"/>
  <c r="R16" i="4"/>
  <c r="T16" i="4" s="1"/>
  <c r="N16" i="4"/>
  <c r="N15" i="4"/>
  <c r="R15" i="4" s="1"/>
  <c r="T15" i="4" s="1"/>
  <c r="R14" i="4"/>
  <c r="T14" i="4" s="1"/>
  <c r="N14" i="4"/>
  <c r="R13" i="4"/>
  <c r="T13" i="4" s="1"/>
  <c r="N13" i="4"/>
  <c r="N12" i="4"/>
  <c r="R12" i="4" s="1"/>
  <c r="T12" i="4" s="1"/>
  <c r="R11" i="4"/>
  <c r="T11" i="4" s="1"/>
  <c r="N11" i="4"/>
  <c r="R10" i="4"/>
  <c r="T10" i="4" s="1"/>
  <c r="N10" i="4"/>
  <c r="N9" i="4"/>
  <c r="R9" i="4" s="1"/>
  <c r="T9" i="4" s="1"/>
  <c r="R8" i="4"/>
  <c r="T8" i="4" s="1"/>
  <c r="N8" i="4"/>
  <c r="R7" i="4"/>
  <c r="T7" i="4" s="1"/>
  <c r="N7" i="4"/>
  <c r="N6" i="4"/>
  <c r="R6" i="4" s="1"/>
  <c r="T6" i="4" s="1"/>
  <c r="R5" i="4"/>
  <c r="T5" i="4" s="1"/>
  <c r="N5" i="4"/>
  <c r="R4" i="4"/>
  <c r="T4" i="4" s="1"/>
  <c r="N4" i="4"/>
  <c r="N1" i="4" s="1"/>
  <c r="N3" i="4"/>
  <c r="R3" i="4" s="1"/>
  <c r="T3" i="4" s="1"/>
  <c r="S1" i="4"/>
  <c r="Q1" i="4"/>
  <c r="P1" i="4"/>
  <c r="M1" i="4"/>
  <c r="L1" i="4"/>
  <c r="R1" i="4" l="1"/>
  <c r="T65" i="4"/>
  <c r="T1" i="4" s="1"/>
  <c r="M3" i="3" l="1"/>
  <c r="M4" i="3"/>
  <c r="M2" i="3"/>
</calcChain>
</file>

<file path=xl/sharedStrings.xml><?xml version="1.0" encoding="utf-8"?>
<sst xmlns="http://schemas.openxmlformats.org/spreadsheetml/2006/main" count="1226" uniqueCount="225">
  <si>
    <t>Expense Category</t>
  </si>
  <si>
    <t>Month</t>
  </si>
  <si>
    <t>Fuel Expense</t>
  </si>
  <si>
    <t>Inspection Charges</t>
  </si>
  <si>
    <t>Job work</t>
  </si>
  <si>
    <t>Machinery Rent</t>
  </si>
  <si>
    <t>Printing &amp; stationary</t>
  </si>
  <si>
    <t>Repair &amp; Maintenance</t>
  </si>
  <si>
    <t>Room rent</t>
  </si>
  <si>
    <t>Safety Items</t>
  </si>
  <si>
    <t>site Expense</t>
  </si>
  <si>
    <t>Staff Salary</t>
  </si>
  <si>
    <t>Staff Welfare Expense</t>
  </si>
  <si>
    <t>Travel Expense</t>
  </si>
  <si>
    <t>Vehicle Rent</t>
  </si>
  <si>
    <t>Water &amp; Electricty charges</t>
  </si>
  <si>
    <t>Basic Amount</t>
  </si>
  <si>
    <t xml:space="preserve"> Amount paid</t>
  </si>
  <si>
    <t>Total PO Value</t>
  </si>
  <si>
    <t>Land Development</t>
  </si>
  <si>
    <t>Boundary Wall</t>
  </si>
  <si>
    <t xml:space="preserve">Start Date </t>
  </si>
  <si>
    <t>Bill No</t>
  </si>
  <si>
    <t>Bill Date</t>
  </si>
  <si>
    <t>Billed Amount</t>
  </si>
  <si>
    <t>Tax Amount</t>
  </si>
  <si>
    <t>Total Bill Amount with Taxes</t>
  </si>
  <si>
    <t xml:space="preserve">Retention Amount </t>
  </si>
  <si>
    <t>TDS</t>
  </si>
  <si>
    <t xml:space="preserve"> Outstanding Amount </t>
  </si>
  <si>
    <t>M1 Charges</t>
  </si>
  <si>
    <t>Finance Charges</t>
  </si>
  <si>
    <t>Payment Date</t>
  </si>
  <si>
    <t>Payment Received</t>
  </si>
  <si>
    <t>Balance</t>
  </si>
  <si>
    <t>VIPL/SUP/2526/05</t>
  </si>
  <si>
    <t>VIPL/2526/73</t>
  </si>
  <si>
    <t>VIPL/2526/72</t>
  </si>
  <si>
    <t>Total</t>
  </si>
  <si>
    <t>S.No</t>
  </si>
  <si>
    <t>Invoice Date</t>
  </si>
  <si>
    <t>Invoice No.</t>
  </si>
  <si>
    <t>Vendor/Employee</t>
  </si>
  <si>
    <t>Paid By</t>
  </si>
  <si>
    <t>Client Name</t>
  </si>
  <si>
    <t>Site</t>
  </si>
  <si>
    <t>Description</t>
  </si>
  <si>
    <t>PF</t>
  </si>
  <si>
    <t>ESIC</t>
  </si>
  <si>
    <t>Amount payable</t>
  </si>
  <si>
    <t>Amount paid</t>
  </si>
  <si>
    <t xml:space="preserve">Difference </t>
  </si>
  <si>
    <t>Remark</t>
  </si>
  <si>
    <t>Choudhary Petroleum</t>
  </si>
  <si>
    <t>Rahul Rai</t>
  </si>
  <si>
    <t>Onix</t>
  </si>
  <si>
    <t>Hanegaon</t>
  </si>
  <si>
    <t>Diesel for JCB</t>
  </si>
  <si>
    <t>Mayur Madhukar Patil</t>
  </si>
  <si>
    <t>Shivam Singh</t>
  </si>
  <si>
    <t>Pujan samgri &amp; sweets</t>
  </si>
  <si>
    <t xml:space="preserve"> </t>
  </si>
  <si>
    <t>Machhendrar Reddy</t>
  </si>
  <si>
    <t>Hotel Stay Charge</t>
  </si>
  <si>
    <t>Jahirodin Mastansab Kabnure</t>
  </si>
  <si>
    <t>Mattress &amp; pillow</t>
  </si>
  <si>
    <t>Sulfule</t>
  </si>
  <si>
    <t>Paid to pandit for Pooja</t>
  </si>
  <si>
    <t>Arjun Sivaji Pawar</t>
  </si>
  <si>
    <t>JCB operator payment</t>
  </si>
  <si>
    <t>VIPL_5779</t>
  </si>
  <si>
    <t>Refund for Site Visit in June 2025</t>
  </si>
  <si>
    <t>Sachin</t>
  </si>
  <si>
    <t>Blanket</t>
  </si>
  <si>
    <t>Ravi</t>
  </si>
  <si>
    <t>Petrol</t>
  </si>
  <si>
    <t>Johirodin Mastansab</t>
  </si>
  <si>
    <t>Matress and pillow</t>
  </si>
  <si>
    <t>Amar Umakant</t>
  </si>
  <si>
    <t>Vatsinfra_ICICI</t>
  </si>
  <si>
    <t>Room rent security started from 30 july - 30 -08-ust</t>
  </si>
  <si>
    <t>Shivaji Govind Pawar</t>
  </si>
  <si>
    <t>JCB rent (Reparing charge) paid to Rajesh</t>
  </si>
  <si>
    <t>JCB rent (JCB operator) paid to Arjun</t>
  </si>
  <si>
    <t>Diesel</t>
  </si>
  <si>
    <t>Dattatary</t>
  </si>
  <si>
    <t>Water Tanker rent</t>
  </si>
  <si>
    <t>JCB rent advance payment</t>
  </si>
  <si>
    <t>Shrikrishna Automobile</t>
  </si>
  <si>
    <t>Bike Tube</t>
  </si>
  <si>
    <t>Shri Balaji Pokalwar</t>
  </si>
  <si>
    <t>rajnandani Steel Shop</t>
  </si>
  <si>
    <t>Utensils</t>
  </si>
  <si>
    <t>7 Days Salary of Site Engineer &amp; Project Manager</t>
  </si>
  <si>
    <t>Sun Petroleum</t>
  </si>
  <si>
    <t>Bike Petrol</t>
  </si>
  <si>
    <t>Shribalaji Pokalwar Petroleum</t>
  </si>
  <si>
    <t>Vgeotech Experts Private Limited</t>
  </si>
  <si>
    <t>Advance Payment for Soil testing and survey</t>
  </si>
  <si>
    <t>Bike meter repairing</t>
  </si>
  <si>
    <t>Manshi Tiwari</t>
  </si>
  <si>
    <t>CS Ghule</t>
  </si>
  <si>
    <t>water can for Guest House</t>
  </si>
  <si>
    <t>Ankush Kumar</t>
  </si>
  <si>
    <t>Tanker Payment</t>
  </si>
  <si>
    <t>Bike petrol</t>
  </si>
  <si>
    <t>JCB diesel</t>
  </si>
  <si>
    <t>Soil testing payment at Hanegaon Site</t>
  </si>
  <si>
    <t>10% advance</t>
  </si>
  <si>
    <t>Gundaram</t>
  </si>
  <si>
    <t>Bike Servicing charge</t>
  </si>
  <si>
    <t>02-09-2025</t>
  </si>
  <si>
    <t>SR Hardware</t>
  </si>
  <si>
    <t>Safety jacket-15 and Helmet- 15 pcs</t>
  </si>
  <si>
    <t>JCB rent advance</t>
  </si>
  <si>
    <t xml:space="preserve">Rahul Rai </t>
  </si>
  <si>
    <t>Travel Reimburshemnt for Site Visit</t>
  </si>
  <si>
    <t>Advance for JCB</t>
  </si>
  <si>
    <t>JCB payment for -08-ust 2025</t>
  </si>
  <si>
    <t>43</t>
  </si>
  <si>
    <t>Alfa Cement Contraction</t>
  </si>
  <si>
    <t>Installation &amp; Supply of Precast</t>
  </si>
  <si>
    <t>Advance Salary</t>
  </si>
  <si>
    <t xml:space="preserve">Advance salary for -09- 2025 </t>
  </si>
  <si>
    <t>18</t>
  </si>
  <si>
    <t>Shreein Surveyour</t>
  </si>
  <si>
    <t>Topography Survey</t>
  </si>
  <si>
    <t>Gst Payment</t>
  </si>
  <si>
    <t>Room rent for -09- 2025</t>
  </si>
  <si>
    <t>Sadhu</t>
  </si>
  <si>
    <t>Jcb rent final Payment</t>
  </si>
  <si>
    <t>Jcb Diesel</t>
  </si>
  <si>
    <t>Electricity bill for-09-2025</t>
  </si>
  <si>
    <t>Guest house rent for -10- 2025</t>
  </si>
  <si>
    <t>UPPE Petroleum</t>
  </si>
  <si>
    <t>180</t>
  </si>
  <si>
    <t>Geetanjali</t>
  </si>
  <si>
    <t>Falx board printing charge</t>
  </si>
  <si>
    <t>Chandrayya</t>
  </si>
  <si>
    <t>Bike Service Charge</t>
  </si>
  <si>
    <t>Guest House Electricity bill</t>
  </si>
  <si>
    <t>Guest house rent for -11- 2025</t>
  </si>
  <si>
    <t>JCB rent for 12 Days</t>
  </si>
  <si>
    <t>12903- Paid on 16-12-2025</t>
  </si>
  <si>
    <t>3 Days JCB rent</t>
  </si>
  <si>
    <t>Staff Salary for Oct 2025</t>
  </si>
  <si>
    <t>Kapil Hulram</t>
  </si>
  <si>
    <t>Local JCB charges</t>
  </si>
  <si>
    <t>Staff Salary for August 2025</t>
  </si>
  <si>
    <t>USPLTI252671</t>
  </si>
  <si>
    <t>Urjavinya Solutions Private Limited</t>
  </si>
  <si>
    <t>Design and engineering consultancy</t>
  </si>
  <si>
    <t>250842225K115589</t>
  </si>
  <si>
    <t>Staff salary for sept 2025</t>
  </si>
  <si>
    <t>250842225K219185</t>
  </si>
  <si>
    <t>Petrol for bike</t>
  </si>
  <si>
    <t>USPLTI252679</t>
  </si>
  <si>
    <t>VIPL_2754</t>
  </si>
  <si>
    <t>Staff salary for Nov 2025</t>
  </si>
  <si>
    <t xml:space="preserve">6000 - advance </t>
  </si>
  <si>
    <t xml:space="preserve">Guest House rent </t>
  </si>
  <si>
    <t>Maharaj Singh</t>
  </si>
  <si>
    <t>Water Tanker payment from 21-30 Nov 2025 (600*10 days)</t>
  </si>
  <si>
    <t>Tractor  rent payment from 21-30 Nov 2025 (1000*10)</t>
  </si>
  <si>
    <t>Sayyad Sahil</t>
  </si>
  <si>
    <t>Amit Pandey</t>
  </si>
  <si>
    <t>Pickup and Labour charges</t>
  </si>
  <si>
    <t xml:space="preserve">Room rent </t>
  </si>
  <si>
    <t>Payment of Guest house Electricity bill for Oct,Nov&amp; Dec</t>
  </si>
  <si>
    <t>Amit pandey paid it</t>
  </si>
  <si>
    <t>MS Chaudhary Petroleum Hanegaon</t>
  </si>
  <si>
    <t>Satish Chandra Mishra</t>
  </si>
  <si>
    <t xml:space="preserve">Onix </t>
  </si>
  <si>
    <t>DTDC</t>
  </si>
  <si>
    <t>Courier charges</t>
  </si>
  <si>
    <t>in file</t>
  </si>
  <si>
    <t>Petrol for Bike</t>
  </si>
  <si>
    <t>Bill Not Received</t>
  </si>
  <si>
    <t>Row Labels</t>
  </si>
  <si>
    <t>Grand Total</t>
  </si>
  <si>
    <t>Sum of Basic Amount</t>
  </si>
  <si>
    <t>Sum of Amount paid</t>
  </si>
  <si>
    <t>Kapil Hulram- Shri Balaji Pokalwar</t>
  </si>
  <si>
    <t>DP Cons.</t>
  </si>
  <si>
    <t>JCB Rent</t>
  </si>
  <si>
    <t>Staff salary</t>
  </si>
  <si>
    <t>Sttaf Salary Dec 2025</t>
  </si>
  <si>
    <t>Sttaf Salary Jan 2026</t>
  </si>
  <si>
    <t>Sttaf Salary Feb 2026</t>
  </si>
  <si>
    <t>Advance Payment Vgeotech</t>
  </si>
  <si>
    <t>Kapil Hulram- Sun Petroleum</t>
  </si>
  <si>
    <t>Room rent for Feb</t>
  </si>
  <si>
    <t>Precast</t>
  </si>
  <si>
    <t>Without Taxs Basic Amount</t>
  </si>
  <si>
    <t>Musa</t>
  </si>
  <si>
    <t xml:space="preserve">Bike Tube replace </t>
  </si>
  <si>
    <t>Vittahal Arjun Rao</t>
  </si>
  <si>
    <t xml:space="preserve">Hanegaon </t>
  </si>
  <si>
    <t>Udgir to Kolhapur Travel</t>
  </si>
  <si>
    <t>MSRTC</t>
  </si>
  <si>
    <t>Kolhapur to Kundal Travel</t>
  </si>
  <si>
    <t>Kundal to Malvan Travel</t>
  </si>
  <si>
    <t>Hotel Anmol</t>
  </si>
  <si>
    <t>Malvan to Mitbhav To Malvan auto rent</t>
  </si>
  <si>
    <t>Freight</t>
  </si>
  <si>
    <t>Malvan to Kundal Travel</t>
  </si>
  <si>
    <t>Kundal To Kolhapur Travel</t>
  </si>
  <si>
    <t xml:space="preserve">Kolhapur to Gulbarga Travel </t>
  </si>
  <si>
    <t xml:space="preserve">Gulbarga to Aurad sharing cab </t>
  </si>
  <si>
    <t>Gulbrga Electricity</t>
  </si>
  <si>
    <t>Electricity Charge Geust House Feb to March month</t>
  </si>
  <si>
    <t xml:space="preserve">Electricity Charge Geust House </t>
  </si>
  <si>
    <t xml:space="preserve">Maharaj Singh </t>
  </si>
  <si>
    <t>Material Packing And Sifting Charge</t>
  </si>
  <si>
    <t xml:space="preserve">Travel Expense </t>
  </si>
  <si>
    <t>Jul , 2025</t>
  </si>
  <si>
    <t>Aug , 2025</t>
  </si>
  <si>
    <t>Sep , 2025</t>
  </si>
  <si>
    <t>Oct , 2025</t>
  </si>
  <si>
    <t>Nov , 2025</t>
  </si>
  <si>
    <t>Dec , 2025</t>
  </si>
  <si>
    <t>Jan , 2026</t>
  </si>
  <si>
    <t>Feb , 2026</t>
  </si>
  <si>
    <t>Jun , 2025</t>
  </si>
  <si>
    <t>Jan 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</si>
</sst>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dd/mm/yyyy;@"/>
    <numFmt numFmtId="166" formatCode="yyyy/mm/dd;@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6F3F7"/>
        <bgColor indexed="64"/>
      </patternFill>
    </fill>
    <fill>
      <patternFill patternType="solid">
        <fgColor rgb="FFDFF5E2"/>
        <bgColor indexed="64"/>
      </patternFill>
    </fill>
    <fill>
      <patternFill patternType="solid">
        <fgColor rgb="FFFFF4D9"/>
        <bgColor indexed="64"/>
      </patternFill>
    </fill>
    <fill>
      <patternFill patternType="solid">
        <fgColor rgb="FFFAD9D9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84">
    <xf numFmtId="0" fontId="0" fillId="0" borderId="0" xfId="0"/>
    <xf numFmtId="0" fontId="0" fillId="0" borderId="1" xfId="0" applyBorder="1" applyAlignment="1">
      <alignment horizontal="center"/>
    </xf>
    <xf numFmtId="44" fontId="1" fillId="2" borderId="1" xfId="0" applyNumberFormat="1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5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17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64" fontId="3" fillId="0" borderId="2" xfId="0" applyNumberFormat="1" applyFont="1" applyBorder="1"/>
    <xf numFmtId="164" fontId="3" fillId="3" borderId="2" xfId="0" applyNumberFormat="1" applyFont="1" applyFill="1" applyBorder="1"/>
    <xf numFmtId="164" fontId="3" fillId="4" borderId="2" xfId="0" applyNumberFormat="1" applyFont="1" applyFill="1" applyBorder="1"/>
    <xf numFmtId="164" fontId="3" fillId="5" borderId="2" xfId="0" applyNumberFormat="1" applyFont="1" applyFill="1" applyBorder="1"/>
    <xf numFmtId="164" fontId="3" fillId="6" borderId="2" xfId="0" applyNumberFormat="1" applyFont="1" applyFill="1" applyBorder="1"/>
    <xf numFmtId="0" fontId="3" fillId="0" borderId="2" xfId="0" applyFont="1" applyBorder="1"/>
    <xf numFmtId="0" fontId="3" fillId="0" borderId="2" xfId="0" applyFont="1" applyBorder="1" applyAlignment="1">
      <alignment wrapText="1"/>
    </xf>
    <xf numFmtId="165" fontId="3" fillId="0" borderId="2" xfId="0" applyNumberFormat="1" applyFont="1" applyBorder="1"/>
    <xf numFmtId="0" fontId="4" fillId="0" borderId="2" xfId="0" applyFont="1" applyBorder="1" applyAlignment="1">
      <alignment wrapText="1"/>
    </xf>
    <xf numFmtId="165" fontId="4" fillId="0" borderId="2" xfId="0" applyNumberFormat="1" applyFont="1" applyBorder="1" applyAlignment="1">
      <alignment wrapText="1"/>
    </xf>
    <xf numFmtId="166" fontId="4" fillId="0" borderId="2" xfId="0" applyNumberFormat="1" applyFont="1" applyBorder="1" applyAlignment="1">
      <alignment wrapText="1"/>
    </xf>
    <xf numFmtId="164" fontId="4" fillId="0" borderId="2" xfId="0" applyNumberFormat="1" applyFont="1" applyBorder="1" applyAlignment="1">
      <alignment wrapText="1"/>
    </xf>
    <xf numFmtId="164" fontId="4" fillId="3" borderId="2" xfId="0" applyNumberFormat="1" applyFont="1" applyFill="1" applyBorder="1"/>
    <xf numFmtId="164" fontId="4" fillId="4" borderId="2" xfId="0" applyNumberFormat="1" applyFont="1" applyFill="1" applyBorder="1" applyAlignment="1">
      <alignment wrapText="1"/>
    </xf>
    <xf numFmtId="164" fontId="4" fillId="5" borderId="2" xfId="0" applyNumberFormat="1" applyFont="1" applyFill="1" applyBorder="1" applyAlignment="1">
      <alignment wrapText="1"/>
    </xf>
    <xf numFmtId="164" fontId="4" fillId="6" borderId="2" xfId="0" applyNumberFormat="1" applyFont="1" applyFill="1" applyBorder="1" applyAlignment="1">
      <alignment wrapText="1"/>
    </xf>
    <xf numFmtId="0" fontId="4" fillId="0" borderId="2" xfId="0" applyFont="1" applyBorder="1"/>
    <xf numFmtId="164" fontId="4" fillId="0" borderId="2" xfId="0" applyNumberFormat="1" applyFont="1" applyBorder="1"/>
    <xf numFmtId="164" fontId="4" fillId="5" borderId="2" xfId="0" applyNumberFormat="1" applyFont="1" applyFill="1" applyBorder="1"/>
    <xf numFmtId="164" fontId="4" fillId="4" borderId="2" xfId="0" applyNumberFormat="1" applyFont="1" applyFill="1" applyBorder="1"/>
    <xf numFmtId="164" fontId="4" fillId="6" borderId="2" xfId="0" applyNumberFormat="1" applyFont="1" applyFill="1" applyBorder="1"/>
    <xf numFmtId="165" fontId="4" fillId="0" borderId="2" xfId="0" applyNumberFormat="1" applyFont="1" applyBorder="1"/>
    <xf numFmtId="165" fontId="4" fillId="0" borderId="2" xfId="0" quotePrefix="1" applyNumberFormat="1" applyFont="1" applyBorder="1"/>
    <xf numFmtId="0" fontId="4" fillId="0" borderId="1" xfId="0" applyFont="1" applyBorder="1"/>
    <xf numFmtId="43" fontId="4" fillId="0" borderId="1" xfId="1" applyFont="1" applyFill="1" applyBorder="1" applyAlignment="1"/>
    <xf numFmtId="43" fontId="4" fillId="0" borderId="1" xfId="1" applyFont="1" applyFill="1" applyBorder="1"/>
    <xf numFmtId="43" fontId="4" fillId="3" borderId="1" xfId="1" applyFont="1" applyFill="1" applyBorder="1" applyAlignment="1">
      <alignment wrapText="1"/>
    </xf>
    <xf numFmtId="43" fontId="4" fillId="4" borderId="1" xfId="1" applyFont="1" applyFill="1" applyBorder="1" applyAlignment="1">
      <alignment wrapText="1"/>
    </xf>
    <xf numFmtId="43" fontId="4" fillId="5" borderId="1" xfId="1" applyFont="1" applyFill="1" applyBorder="1"/>
    <xf numFmtId="43" fontId="4" fillId="6" borderId="1" xfId="0" applyNumberFormat="1" applyFont="1" applyFill="1" applyBorder="1"/>
    <xf numFmtId="0" fontId="4" fillId="0" borderId="2" xfId="0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164" fontId="4" fillId="0" borderId="2" xfId="0" applyNumberFormat="1" applyFont="1" applyBorder="1" applyAlignment="1">
      <alignment vertical="center"/>
    </xf>
    <xf numFmtId="164" fontId="4" fillId="3" borderId="2" xfId="0" applyNumberFormat="1" applyFont="1" applyFill="1" applyBorder="1" applyAlignment="1">
      <alignment vertical="center"/>
    </xf>
    <xf numFmtId="164" fontId="4" fillId="4" borderId="2" xfId="0" applyNumberFormat="1" applyFont="1" applyFill="1" applyBorder="1" applyAlignment="1">
      <alignment vertical="center"/>
    </xf>
    <xf numFmtId="164" fontId="4" fillId="5" borderId="2" xfId="0" applyNumberFormat="1" applyFont="1" applyFill="1" applyBorder="1" applyAlignment="1">
      <alignment vertical="center"/>
    </xf>
    <xf numFmtId="164" fontId="4" fillId="6" borderId="2" xfId="0" applyNumberFormat="1" applyFont="1" applyFill="1" applyBorder="1" applyAlignment="1">
      <alignment vertical="center" wrapText="1"/>
    </xf>
    <xf numFmtId="0" fontId="4" fillId="0" borderId="2" xfId="0" quotePrefix="1" applyFont="1" applyBorder="1"/>
    <xf numFmtId="165" fontId="4" fillId="2" borderId="2" xfId="0" applyNumberFormat="1" applyFont="1" applyFill="1" applyBorder="1"/>
    <xf numFmtId="0" fontId="4" fillId="2" borderId="2" xfId="0" applyFont="1" applyFill="1" applyBorder="1"/>
    <xf numFmtId="164" fontId="4" fillId="2" borderId="2" xfId="0" applyNumberFormat="1" applyFont="1" applyFill="1" applyBorder="1"/>
    <xf numFmtId="43" fontId="4" fillId="2" borderId="1" xfId="1" applyFont="1" applyFill="1" applyBorder="1" applyAlignment="1">
      <alignment wrapText="1"/>
    </xf>
    <xf numFmtId="164" fontId="4" fillId="2" borderId="2" xfId="0" applyNumberFormat="1" applyFont="1" applyFill="1" applyBorder="1" applyAlignment="1">
      <alignment wrapText="1"/>
    </xf>
    <xf numFmtId="165" fontId="4" fillId="0" borderId="3" xfId="0" applyNumberFormat="1" applyFont="1" applyBorder="1"/>
    <xf numFmtId="0" fontId="4" fillId="0" borderId="3" xfId="0" applyFont="1" applyBorder="1"/>
    <xf numFmtId="0" fontId="4" fillId="7" borderId="3" xfId="0" applyFont="1" applyFill="1" applyBorder="1"/>
    <xf numFmtId="164" fontId="4" fillId="0" borderId="3" xfId="0" applyNumberFormat="1" applyFont="1" applyBorder="1"/>
    <xf numFmtId="43" fontId="4" fillId="3" borderId="4" xfId="1" applyFont="1" applyFill="1" applyBorder="1" applyAlignment="1">
      <alignment wrapText="1"/>
    </xf>
    <xf numFmtId="14" fontId="4" fillId="0" borderId="1" xfId="0" applyNumberFormat="1" applyFont="1" applyBorder="1"/>
    <xf numFmtId="164" fontId="4" fillId="0" borderId="1" xfId="0" applyNumberFormat="1" applyFont="1" applyBorder="1"/>
    <xf numFmtId="164" fontId="4" fillId="0" borderId="5" xfId="0" applyNumberFormat="1" applyFont="1" applyBorder="1"/>
    <xf numFmtId="165" fontId="4" fillId="0" borderId="6" xfId="0" applyNumberFormat="1" applyFont="1" applyBorder="1"/>
    <xf numFmtId="0" fontId="4" fillId="0" borderId="6" xfId="0" applyFont="1" applyBorder="1"/>
    <xf numFmtId="164" fontId="4" fillId="0" borderId="6" xfId="0" applyNumberFormat="1" applyFont="1" applyBorder="1"/>
    <xf numFmtId="43" fontId="4" fillId="3" borderId="7" xfId="1" applyFont="1" applyFill="1" applyBorder="1" applyAlignment="1">
      <alignment wrapText="1"/>
    </xf>
    <xf numFmtId="165" fontId="5" fillId="2" borderId="2" xfId="0" applyNumberFormat="1" applyFont="1" applyFill="1" applyBorder="1"/>
    <xf numFmtId="0" fontId="4" fillId="2" borderId="3" xfId="0" applyFont="1" applyFill="1" applyBorder="1"/>
    <xf numFmtId="165" fontId="4" fillId="0" borderId="2" xfId="0" applyNumberFormat="1" applyFont="1" applyBorder="1" applyAlignment="1">
      <alignment horizontal="right"/>
    </xf>
    <xf numFmtId="0" fontId="3" fillId="0" borderId="0" xfId="0" applyFont="1"/>
    <xf numFmtId="0" fontId="4" fillId="0" borderId="0" xfId="0" applyFont="1"/>
    <xf numFmtId="0" fontId="4" fillId="2" borderId="0" xfId="0" applyFont="1" applyFill="1" applyAlignment="1">
      <alignment wrapText="1"/>
    </xf>
    <xf numFmtId="0" fontId="4" fillId="0" borderId="0" xfId="0" applyFont="1" applyAlignment="1">
      <alignment wrapText="1"/>
    </xf>
    <xf numFmtId="0" fontId="4" fillId="0" borderId="0" xfId="0" applyFont="1" applyAlignment="1">
      <alignment vertical="center"/>
    </xf>
    <xf numFmtId="14" fontId="4" fillId="0" borderId="0" xfId="0" applyNumberFormat="1" applyFont="1"/>
    <xf numFmtId="164" fontId="4" fillId="0" borderId="0" xfId="0" applyNumberFormat="1" applyFont="1"/>
    <xf numFmtId="0" fontId="0" fillId="0" borderId="0" xfId="0" applyAlignment="1">
      <alignment horizontal="center"/>
    </xf>
    <xf numFmtId="0" fontId="0" fillId="0" borderId="1" xfId="0" pivotButton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164" fontId="3" fillId="0" borderId="2" xfId="0" applyNumberFormat="1" applyFont="1" applyBorder="1" applyAlignment="1">
      <alignment horizontal="center"/>
    </xf>
    <xf numFmtId="164" fontId="4" fillId="0" borderId="2" xfId="0" applyNumberFormat="1" applyFont="1" applyBorder="1" applyAlignment="1">
      <alignment horizontal="center"/>
    </xf>
    <xf numFmtId="164" fontId="4" fillId="2" borderId="2" xfId="0" applyNumberFormat="1" applyFont="1" applyFill="1" applyBorder="1" applyAlignment="1">
      <alignment horizontal="center"/>
    </xf>
    <xf numFmtId="0" fontId="3" fillId="0" borderId="2" xfId="0" applyFont="1" applyBorder="1" applyAlignment="1"/>
  </cellXfs>
  <cellStyles count="2">
    <cellStyle name="Comma" xfId="1" builtinId="3"/>
    <cellStyle name="Normal" xfId="0" builtinId="0"/>
  </cellStyles>
  <dxfs count="22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pit/Downloads/Onix%20EPC%20Expense%20Sheet%20(1)%20(1)%20(4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fit &amp; Loss"/>
      <sheetName val="Balance"/>
      <sheetName val="Head"/>
      <sheetName val="Expense"/>
      <sheetName val="Invoice Details"/>
      <sheetName val="Advance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rpit" refreshedDate="46102.763195370368" createdVersion="5" refreshedVersion="5" minRefreshableVersion="3" recordCount="18">
  <cacheSource type="worksheet">
    <worksheetSource ref="A1:B19" sheet="Sheet4"/>
  </cacheSource>
  <cacheFields count="2">
    <cacheField name="Expense Category" numFmtId="0">
      <sharedItems count="4">
        <s v="Precast"/>
        <s v="Fuel Expense"/>
        <s v="Machinery Rent"/>
        <s v="Inspection Charges"/>
      </sharedItems>
    </cacheField>
    <cacheField name="Basic Amount" numFmtId="0">
      <sharedItems containsSemiMixedTypes="0" containsString="0" containsNumber="1" minValue="400" maxValue="69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arpit" refreshedDate="46112.695789120371" createdVersion="5" refreshedVersion="5" minRefreshableVersion="3" recordCount="149">
  <cacheSource type="worksheet">
    <worksheetSource ref="A2:U151" sheet="21 March"/>
  </cacheSource>
  <cacheFields count="21">
    <cacheField name="S.No" numFmtId="0">
      <sharedItems containsSemiMixedTypes="0" containsString="0" containsNumber="1" containsInteger="1" minValue="1" maxValue="149"/>
    </cacheField>
    <cacheField name="Invoice Date" numFmtId="0">
      <sharedItems containsSemiMixedTypes="0" containsNonDate="0" containsDate="1" containsString="0" minDate="2025-01-11T00:00:00" maxDate="2026-03-01T00:00:00"/>
    </cacheField>
    <cacheField name="Payment Date" numFmtId="0">
      <sharedItems containsDate="1" containsBlank="1" containsMixedTypes="1" minDate="2025-01-11T00:00:00" maxDate="2026-03-30T00:00:00"/>
    </cacheField>
    <cacheField name="Month" numFmtId="166">
      <sharedItems count="20">
        <s v="Jul , 2025"/>
        <s v="Jun , 2025"/>
        <s v="Aug , 2025"/>
        <s v="Sep , 2025"/>
        <s v="Oct , 2025"/>
        <s v="Nov , 2025"/>
        <s v="Dec , 2025"/>
        <s v="Jan , 2026"/>
        <s v="Feb , 2026"/>
        <s v="Jan , 2025"/>
        <s v="Sep" u="1"/>
        <s v="Jan" u="1"/>
        <s v="Feb" u="1"/>
        <s v="Jan , 1900" u="1"/>
        <s v="Nov" u="1"/>
        <s v="Dec" u="1"/>
        <s v="Oct" u="1"/>
        <s v="Jul" u="1"/>
        <s v="Aug" u="1"/>
        <s v="Jun" u="1"/>
      </sharedItems>
    </cacheField>
    <cacheField name="Invoice No." numFmtId="0">
      <sharedItems containsBlank="1" containsMixedTypes="1" containsNumber="1" containsInteger="1" minValue="45" maxValue="50500132"/>
    </cacheField>
    <cacheField name="Vendor/Employee" numFmtId="0">
      <sharedItems/>
    </cacheField>
    <cacheField name="Paid By" numFmtId="0">
      <sharedItems/>
    </cacheField>
    <cacheField name="Client Name" numFmtId="0">
      <sharedItems/>
    </cacheField>
    <cacheField name="Site" numFmtId="0">
      <sharedItems/>
    </cacheField>
    <cacheField name="Description" numFmtId="0">
      <sharedItems/>
    </cacheField>
    <cacheField name="Expense Category" numFmtId="0">
      <sharedItems count="15">
        <s v="Fuel Expense"/>
        <s v="site Expense"/>
        <s v="Room rent"/>
        <s v="Staff Welfare Expense"/>
        <s v="Travel Expense"/>
        <s v="Machinery Rent"/>
        <s v="Water &amp; Electricty charges"/>
        <s v="Repair &amp; Maintenance"/>
        <s v="Staff Salary"/>
        <s v="Inspection Charges"/>
        <s v="Safety Items"/>
        <s v="Job work"/>
        <s v="Printing &amp; stationary"/>
        <s v="Vehicle Rent"/>
        <s v="Freight"/>
      </sharedItems>
    </cacheField>
    <cacheField name="Basic Amount" numFmtId="0">
      <sharedItems containsString="0" containsBlank="1" containsNumber="1" minValue="0" maxValue="690000"/>
    </cacheField>
    <cacheField name="Tax Amount" numFmtId="0">
      <sharedItems containsString="0" containsBlank="1" containsNumber="1" containsInteger="1" minValue="0" maxValue="124200"/>
    </cacheField>
    <cacheField name="Total" numFmtId="0">
      <sharedItems containsSemiMixedTypes="0" containsString="0" containsNumber="1" minValue="0" maxValue="814200"/>
    </cacheField>
    <cacheField name="TDS" numFmtId="0">
      <sharedItems containsString="0" containsBlank="1" containsNumber="1" containsInteger="1" minValue="0" maxValue="17500"/>
    </cacheField>
    <cacheField name="PF" numFmtId="0">
      <sharedItems containsString="0" containsBlank="1" containsNumber="1" minValue="0" maxValue="13272.48"/>
    </cacheField>
    <cacheField name="ESIC" numFmtId="0">
      <sharedItems containsString="0" containsBlank="1" containsNumber="1" minValue="0" maxValue="548"/>
    </cacheField>
    <cacheField name="Amount payable" numFmtId="0">
      <sharedItems containsSemiMixedTypes="0" containsString="0" containsNumber="1" minValue="0" maxValue="807300"/>
    </cacheField>
    <cacheField name="Amount paid" numFmtId="0">
      <sharedItems containsString="0" containsBlank="1" containsNumber="1" minValue="0" maxValue="247170"/>
    </cacheField>
    <cacheField name="Difference " numFmtId="0">
      <sharedItems containsSemiMixedTypes="0" containsString="0" containsNumber="1" minValue="-247170" maxValue="807300"/>
    </cacheField>
    <cacheField name="Remark" numFmtId="0">
      <sharedItems containsBlank="1" containsMixedTypes="1" containsNumber="1" containsInteger="1" minValue="108606" maxValue="10860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">
  <r>
    <x v="0"/>
    <n v="69000"/>
  </r>
  <r>
    <x v="0"/>
    <n v="82800"/>
  </r>
  <r>
    <x v="0"/>
    <n v="690000"/>
  </r>
  <r>
    <x v="1"/>
    <n v="41100"/>
  </r>
  <r>
    <x v="1"/>
    <n v="400"/>
  </r>
  <r>
    <x v="1"/>
    <n v="630"/>
  </r>
  <r>
    <x v="1"/>
    <n v="6400"/>
  </r>
  <r>
    <x v="1"/>
    <n v="12170"/>
  </r>
  <r>
    <x v="1"/>
    <n v="41849.49"/>
  </r>
  <r>
    <x v="1"/>
    <n v="14411"/>
  </r>
  <r>
    <x v="2"/>
    <n v="61693"/>
  </r>
  <r>
    <x v="2"/>
    <n v="76000"/>
  </r>
  <r>
    <x v="2"/>
    <n v="44428.81"/>
  </r>
  <r>
    <x v="2"/>
    <n v="17000"/>
  </r>
  <r>
    <x v="3"/>
    <n v="267500"/>
  </r>
  <r>
    <x v="3"/>
    <n v="175000"/>
  </r>
  <r>
    <x v="3"/>
    <n v="175000"/>
  </r>
  <r>
    <x v="3"/>
    <n v="300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49">
  <r>
    <n v="1"/>
    <d v="2025-07-28T00:00:00"/>
    <d v="2025-07-28T00:00:00"/>
    <x v="0"/>
    <m/>
    <s v="Choudhary Petroleum"/>
    <s v="Rahul Rai"/>
    <s v="Onix"/>
    <s v="Hanegaon"/>
    <s v="Diesel for JCB"/>
    <x v="0"/>
    <n v="2000"/>
    <n v="0"/>
    <n v="2000"/>
    <n v="0"/>
    <n v="0"/>
    <n v="0"/>
    <n v="2000"/>
    <n v="2000"/>
    <n v="0"/>
    <m/>
  </r>
  <r>
    <n v="2"/>
    <d v="2025-07-28T00:00:00"/>
    <d v="2025-07-28T00:00:00"/>
    <x v="0"/>
    <m/>
    <s v="Choudhary Petroleum"/>
    <s v="Rahul Rai"/>
    <s v="Onix"/>
    <s v="Hanegaon"/>
    <s v="Diesel for JCB"/>
    <x v="0"/>
    <n v="1000"/>
    <n v="0"/>
    <n v="1000"/>
    <n v="0"/>
    <n v="0"/>
    <n v="0"/>
    <n v="1000"/>
    <n v="1000"/>
    <n v="0"/>
    <m/>
  </r>
  <r>
    <n v="3"/>
    <d v="2025-07-28T00:00:00"/>
    <d v="2025-07-28T00:00:00"/>
    <x v="0"/>
    <m/>
    <s v="Mayur Madhukar Patil"/>
    <s v="Shivam Singh"/>
    <s v="Onix"/>
    <s v="Hanegaon"/>
    <s v="Pujan samgri &amp; sweets"/>
    <x v="1"/>
    <n v="500"/>
    <n v="0"/>
    <n v="500"/>
    <n v="0"/>
    <n v="0"/>
    <n v="0"/>
    <n v="500"/>
    <n v="500"/>
    <n v="0"/>
    <m/>
  </r>
  <r>
    <n v="4"/>
    <d v="2025-07-28T00:00:00"/>
    <d v="2025-07-28T00:00:00"/>
    <x v="0"/>
    <s v=" "/>
    <s v="Machhendrar Reddy"/>
    <s v="Shivam Singh"/>
    <s v="Onix"/>
    <s v="Hanegaon"/>
    <s v="Hotel Stay Charge"/>
    <x v="2"/>
    <n v="800"/>
    <n v="0"/>
    <n v="800"/>
    <n v="0"/>
    <n v="0"/>
    <n v="0"/>
    <n v="800"/>
    <n v="800"/>
    <n v="0"/>
    <m/>
  </r>
  <r>
    <n v="5"/>
    <d v="2025-07-28T00:00:00"/>
    <d v="2025-07-28T00:00:00"/>
    <x v="0"/>
    <m/>
    <s v="Machhendrar Reddy"/>
    <s v="Shivam Singh"/>
    <s v="Onix"/>
    <s v="Hanegaon"/>
    <s v="Hotel Stay Charge"/>
    <x v="2"/>
    <n v="1600"/>
    <n v="0"/>
    <n v="1600"/>
    <n v="0"/>
    <n v="0"/>
    <n v="0"/>
    <n v="1600"/>
    <n v="1600"/>
    <n v="0"/>
    <m/>
  </r>
  <r>
    <n v="6"/>
    <d v="2025-07-28T00:00:00"/>
    <d v="2025-07-28T00:00:00"/>
    <x v="0"/>
    <m/>
    <s v="Jahirodin Mastansab Kabnure"/>
    <s v="Shivam Singh"/>
    <s v="Onix"/>
    <s v="Hanegaon"/>
    <s v="Mattress &amp; pillow"/>
    <x v="3"/>
    <n v="700"/>
    <n v="0"/>
    <n v="700"/>
    <n v="0"/>
    <n v="0"/>
    <n v="0"/>
    <n v="700"/>
    <n v="700"/>
    <n v="0"/>
    <m/>
  </r>
  <r>
    <n v="7"/>
    <d v="2025-07-28T00:00:00"/>
    <d v="2025-07-28T00:00:00"/>
    <x v="0"/>
    <m/>
    <s v="Sulfule"/>
    <s v="Shivam Singh"/>
    <s v="Onix"/>
    <s v="Hanegaon"/>
    <s v="Paid to pandit for Pooja"/>
    <x v="1"/>
    <n v="1100"/>
    <n v="0"/>
    <n v="1100"/>
    <n v="0"/>
    <n v="0"/>
    <n v="0"/>
    <n v="1100"/>
    <n v="1100"/>
    <n v="0"/>
    <m/>
  </r>
  <r>
    <n v="8"/>
    <d v="2025-07-28T00:00:00"/>
    <d v="2025-07-28T00:00:00"/>
    <x v="0"/>
    <m/>
    <s v="Arjun Sivaji Pawar"/>
    <s v="Shivam Singh"/>
    <s v="Onix"/>
    <s v="Hanegaon"/>
    <s v="JCB operator payment"/>
    <x v="1"/>
    <n v="200"/>
    <n v="0"/>
    <n v="200"/>
    <n v="0"/>
    <n v="0"/>
    <n v="0"/>
    <n v="200"/>
    <n v="200"/>
    <n v="0"/>
    <m/>
  </r>
  <r>
    <n v="9"/>
    <d v="2025-07-29T00:00:00"/>
    <d v="2025-07-29T00:00:00"/>
    <x v="0"/>
    <m/>
    <s v="Choudhary Petroleum"/>
    <s v="Shivam Singh"/>
    <s v="Onix"/>
    <s v="Hanegaon"/>
    <s v="Diesel for JCB"/>
    <x v="0"/>
    <n v="1400"/>
    <n v="0"/>
    <n v="1400"/>
    <n v="0"/>
    <n v="0"/>
    <n v="0"/>
    <n v="1400"/>
    <n v="1400"/>
    <n v="0"/>
    <m/>
  </r>
  <r>
    <n v="10"/>
    <d v="2025-07-29T00:00:00"/>
    <d v="2025-07-29T00:00:00"/>
    <x v="0"/>
    <m/>
    <s v="Arjun Sivaji Pawar"/>
    <s v="Shivam Singh"/>
    <s v="Onix"/>
    <s v="Hanegaon"/>
    <s v="JCB operator payment"/>
    <x v="1"/>
    <n v="100"/>
    <n v="0"/>
    <n v="100"/>
    <n v="0"/>
    <n v="0"/>
    <n v="0"/>
    <n v="100"/>
    <n v="100"/>
    <n v="0"/>
    <m/>
  </r>
  <r>
    <n v="11"/>
    <d v="2025-06-30T00:00:00"/>
    <d v="2025-08-03T00:00:00"/>
    <x v="1"/>
    <m/>
    <s v="Rahul Rai"/>
    <s v="VIPL_5779"/>
    <s v="Onix"/>
    <s v="Hanegaon"/>
    <s v="Refund for Site Visit in June 2025"/>
    <x v="4"/>
    <n v="11921"/>
    <n v="0"/>
    <n v="11921"/>
    <n v="0"/>
    <n v="0"/>
    <n v="0"/>
    <n v="11921"/>
    <n v="11921"/>
    <n v="0"/>
    <m/>
  </r>
  <r>
    <n v="12"/>
    <d v="2025-07-30T00:00:00"/>
    <d v="2025-08-03T00:00:00"/>
    <x v="0"/>
    <m/>
    <s v="Sachin"/>
    <s v="Shivam Singh"/>
    <s v="Onix"/>
    <s v="Hanegaon"/>
    <s v="Blanket"/>
    <x v="3"/>
    <n v="450"/>
    <n v="0"/>
    <n v="450"/>
    <n v="0"/>
    <n v="0"/>
    <m/>
    <n v="450"/>
    <n v="450"/>
    <n v="0"/>
    <m/>
  </r>
  <r>
    <n v="13"/>
    <d v="2025-07-31T00:00:00"/>
    <d v="2025-07-31T00:00:00"/>
    <x v="0"/>
    <m/>
    <s v="Choudhary Petroleum"/>
    <s v="Shivam Singh"/>
    <s v="Onix"/>
    <s v="Hanegaon"/>
    <s v="Diesel for JCB"/>
    <x v="0"/>
    <n v="2000"/>
    <n v="0"/>
    <n v="2000"/>
    <n v="0"/>
    <n v="0"/>
    <m/>
    <n v="2000"/>
    <n v="2000"/>
    <n v="0"/>
    <m/>
  </r>
  <r>
    <n v="14"/>
    <d v="2025-08-01T00:00:00"/>
    <d v="2025-08-01T00:00:00"/>
    <x v="2"/>
    <m/>
    <s v="Ravi"/>
    <s v="Shivam Singh"/>
    <s v="Onix"/>
    <s v="Hanegaon"/>
    <s v="Petrol"/>
    <x v="0"/>
    <n v="520"/>
    <n v="0"/>
    <n v="520"/>
    <n v="0"/>
    <n v="0"/>
    <m/>
    <n v="520"/>
    <n v="520"/>
    <n v="0"/>
    <m/>
  </r>
  <r>
    <n v="15"/>
    <d v="2025-08-01T00:00:00"/>
    <d v="2025-08-01T00:00:00"/>
    <x v="2"/>
    <s v=" "/>
    <s v="Choudhary Petroleum"/>
    <s v="Shivam Singh"/>
    <s v="Onix"/>
    <s v="Hanegaon"/>
    <s v="Diesel for JCB"/>
    <x v="0"/>
    <n v="2000"/>
    <n v="0"/>
    <n v="2000"/>
    <n v="0"/>
    <n v="0"/>
    <m/>
    <n v="2000"/>
    <n v="2000"/>
    <n v="0"/>
    <m/>
  </r>
  <r>
    <n v="16"/>
    <d v="2025-08-01T00:00:00"/>
    <d v="2025-08-01T00:00:00"/>
    <x v="2"/>
    <s v=" "/>
    <s v="Johirodin Mastansab"/>
    <s v="Shivam Singh"/>
    <s v="Onix"/>
    <s v="Hanegaon"/>
    <s v="Matress and pillow"/>
    <x v="3"/>
    <n v="810"/>
    <n v="0"/>
    <n v="810"/>
    <n v="0"/>
    <n v="0"/>
    <m/>
    <n v="810"/>
    <n v="810"/>
    <n v="0"/>
    <m/>
  </r>
  <r>
    <n v="17"/>
    <d v="2025-08-02T00:00:00"/>
    <d v="2025-08-02T00:00:00"/>
    <x v="2"/>
    <s v=" "/>
    <s v="Amar Umakant"/>
    <s v="Vatsinfra_ICICI"/>
    <s v="Onix"/>
    <s v="Hanegaon"/>
    <s v="Room rent security started from 30 july - 30 -08-ust"/>
    <x v="2"/>
    <n v="6000"/>
    <n v="0"/>
    <n v="6000"/>
    <n v="0"/>
    <n v="0"/>
    <m/>
    <n v="6000"/>
    <n v="6000"/>
    <n v="0"/>
    <m/>
  </r>
  <r>
    <n v="18"/>
    <d v="2025-08-02T00:00:00"/>
    <d v="2025-08-02T00:00:00"/>
    <x v="2"/>
    <m/>
    <s v="Choudhary Petroleum"/>
    <s v="Shivam Singh"/>
    <s v="Onix"/>
    <s v="Hanegaon"/>
    <s v="Diesel for JCB"/>
    <x v="0"/>
    <n v="2000"/>
    <n v="0"/>
    <n v="2000"/>
    <n v="0"/>
    <n v="0"/>
    <m/>
    <n v="2000"/>
    <n v="2000"/>
    <n v="0"/>
    <m/>
  </r>
  <r>
    <n v="19"/>
    <d v="2025-08-02T00:00:00"/>
    <d v="2025-08-02T00:00:00"/>
    <x v="2"/>
    <m/>
    <s v="Shivaji Govind Pawar"/>
    <s v="Shivam Singh"/>
    <s v="Onix"/>
    <s v="Hanegaon"/>
    <s v="JCB rent (Reparing charge) paid to Rajesh"/>
    <x v="5"/>
    <m/>
    <n v="0"/>
    <n v="0"/>
    <n v="0"/>
    <n v="0"/>
    <m/>
    <n v="0"/>
    <n v="1050"/>
    <n v="-1050"/>
    <m/>
  </r>
  <r>
    <n v="20"/>
    <d v="2025-08-02T00:00:00"/>
    <d v="2025-08-02T00:00:00"/>
    <x v="2"/>
    <m/>
    <s v="Shivaji Govind Pawar"/>
    <s v="Shivam Singh"/>
    <s v="Onix"/>
    <s v="Hanegaon"/>
    <s v="JCB rent (JCB operator) paid to Arjun"/>
    <x v="5"/>
    <n v="0"/>
    <n v="0"/>
    <n v="0"/>
    <n v="0"/>
    <n v="0"/>
    <m/>
    <n v="0"/>
    <n v="500"/>
    <n v="-500"/>
    <m/>
  </r>
  <r>
    <n v="21"/>
    <d v="2025-08-04T00:00:00"/>
    <d v="2025-08-04T00:00:00"/>
    <x v="2"/>
    <m/>
    <s v="Choudhary Petroleum"/>
    <s v="Shivam Singh"/>
    <s v="Onix"/>
    <s v="Hanegaon"/>
    <s v="Petrol"/>
    <x v="0"/>
    <n v="510"/>
    <n v="0"/>
    <n v="510"/>
    <n v="0"/>
    <n v="0"/>
    <m/>
    <n v="510"/>
    <n v="510"/>
    <n v="0"/>
    <m/>
  </r>
  <r>
    <n v="22"/>
    <d v="2025-08-04T00:00:00"/>
    <d v="2025-08-04T00:00:00"/>
    <x v="2"/>
    <m/>
    <s v="Choudhary Petroleum"/>
    <s v="Shivam Singh"/>
    <s v="Onix"/>
    <s v="Hanegaon"/>
    <s v="Diesel"/>
    <x v="0"/>
    <n v="3000"/>
    <n v="0"/>
    <n v="3000"/>
    <n v="0"/>
    <n v="0"/>
    <m/>
    <n v="3000"/>
    <n v="3000"/>
    <n v="0"/>
    <m/>
  </r>
  <r>
    <n v="23"/>
    <d v="2025-08-04T00:00:00"/>
    <d v="2025-08-04T00:00:00"/>
    <x v="2"/>
    <m/>
    <s v="Dattatary"/>
    <s v="Shivam Singh"/>
    <s v="Onix"/>
    <s v="Hanegaon"/>
    <s v="Water Tanker rent"/>
    <x v="6"/>
    <n v="1500"/>
    <n v="0"/>
    <n v="1500"/>
    <n v="0"/>
    <n v="0"/>
    <m/>
    <n v="1500"/>
    <n v="1500"/>
    <n v="0"/>
    <m/>
  </r>
  <r>
    <n v="24"/>
    <d v="2025-08-06T00:00:00"/>
    <d v="2025-08-06T00:00:00"/>
    <x v="2"/>
    <m/>
    <s v="Shivaji Govind Pawar"/>
    <s v="Vatsinfra_ICICI"/>
    <s v="Onix"/>
    <s v="Hanegaon"/>
    <s v="JCB rent advance payment"/>
    <x v="5"/>
    <n v="0"/>
    <n v="0"/>
    <n v="0"/>
    <n v="0"/>
    <n v="0"/>
    <m/>
    <n v="0"/>
    <n v="10000"/>
    <n v="-10000"/>
    <m/>
  </r>
  <r>
    <n v="25"/>
    <d v="2025-08-07T00:00:00"/>
    <d v="2025-08-07T00:00:00"/>
    <x v="2"/>
    <m/>
    <s v="Choudhary Petroleum"/>
    <s v="Shivam Singh"/>
    <s v="Onix"/>
    <s v="Hanegaon"/>
    <s v="Diesel for JCB"/>
    <x v="0"/>
    <n v="3000"/>
    <n v="0"/>
    <n v="3000"/>
    <n v="0"/>
    <n v="0"/>
    <m/>
    <n v="3000"/>
    <n v="3000"/>
    <n v="0"/>
    <m/>
  </r>
  <r>
    <n v="26"/>
    <d v="2025-08-07T00:00:00"/>
    <d v="2025-08-07T00:00:00"/>
    <x v="2"/>
    <m/>
    <s v="Shrikrishna Automobile"/>
    <s v="Shivam Singh"/>
    <s v="Onix"/>
    <s v="Hanegaon"/>
    <s v="Bike Tube"/>
    <x v="7"/>
    <n v="350"/>
    <n v="0"/>
    <n v="350"/>
    <n v="0"/>
    <n v="0"/>
    <m/>
    <n v="350"/>
    <n v="350"/>
    <n v="0"/>
    <m/>
  </r>
  <r>
    <n v="27"/>
    <d v="2025-08-08T00:00:00"/>
    <d v="2025-08-08T00:00:00"/>
    <x v="2"/>
    <m/>
    <s v="Shri Balaji Pokalwar"/>
    <s v="Shivam Singh"/>
    <s v="Onix"/>
    <s v="Hanegaon"/>
    <s v="Diesel for JCB"/>
    <x v="0"/>
    <n v="2900"/>
    <n v="0"/>
    <n v="2900"/>
    <n v="0"/>
    <n v="0"/>
    <m/>
    <n v="2900"/>
    <n v="2900"/>
    <n v="0"/>
    <m/>
  </r>
  <r>
    <n v="28"/>
    <d v="2025-08-08T00:00:00"/>
    <d v="2025-08-08T00:00:00"/>
    <x v="2"/>
    <m/>
    <s v="rajnandani Steel Shop"/>
    <s v="Shivam Singh"/>
    <s v="Onix"/>
    <s v="Hanegaon"/>
    <s v="Utensils"/>
    <x v="3"/>
    <n v="2600"/>
    <n v="0"/>
    <n v="2600"/>
    <n v="0"/>
    <n v="0"/>
    <m/>
    <n v="2600"/>
    <n v="2600"/>
    <n v="0"/>
    <m/>
  </r>
  <r>
    <n v="29"/>
    <d v="2025-07-31T00:00:00"/>
    <d v="2025-08-09T00:00:00"/>
    <x v="0"/>
    <m/>
    <s v="Staff Salary"/>
    <s v="VIPL_5779"/>
    <s v="Onix"/>
    <s v="Hanegaon"/>
    <s v="7 Days Salary of Site Engineer &amp; Project Manager"/>
    <x v="8"/>
    <n v="28903.23"/>
    <n v="0"/>
    <n v="28903.23"/>
    <m/>
    <n v="1554.81"/>
    <n v="0"/>
    <n v="27348.42"/>
    <n v="27348.74"/>
    <n v="-0.32000000000334694"/>
    <m/>
  </r>
  <r>
    <n v="30"/>
    <d v="2025-08-10T00:00:00"/>
    <d v="2025-08-10T00:00:00"/>
    <x v="2"/>
    <m/>
    <s v="Shri Balaji Pokalwar"/>
    <s v="Shivam Singh"/>
    <s v="Onix"/>
    <s v="Hanegaon"/>
    <s v="Diesel for JCB"/>
    <x v="0"/>
    <n v="3000"/>
    <n v="0"/>
    <n v="3000"/>
    <n v="0"/>
    <n v="0"/>
    <m/>
    <n v="3000"/>
    <n v="3000"/>
    <n v="0"/>
    <m/>
  </r>
  <r>
    <n v="31"/>
    <d v="2025-08-10T00:00:00"/>
    <d v="2025-08-10T00:00:00"/>
    <x v="2"/>
    <m/>
    <s v="Sun Petroleum"/>
    <s v="Shivam Singh"/>
    <s v="Onix"/>
    <s v="Hanegaon"/>
    <s v="Bike Petrol"/>
    <x v="0"/>
    <n v="520"/>
    <n v="0"/>
    <n v="520"/>
    <n v="0"/>
    <n v="0"/>
    <m/>
    <n v="520"/>
    <n v="520"/>
    <n v="0"/>
    <m/>
  </r>
  <r>
    <n v="32"/>
    <d v="2025-08-11T00:00:00"/>
    <d v="2025-08-11T00:00:00"/>
    <x v="2"/>
    <m/>
    <s v="Choudhary Petroleum"/>
    <s v="Shivam Singh"/>
    <s v="Onix"/>
    <s v="Hanegaon"/>
    <s v="Diesel for JCB"/>
    <x v="0"/>
    <n v="3000"/>
    <n v="0"/>
    <n v="3000"/>
    <n v="0"/>
    <n v="0"/>
    <m/>
    <n v="3000"/>
    <n v="3000"/>
    <n v="0"/>
    <m/>
  </r>
  <r>
    <n v="33"/>
    <d v="2025-08-12T00:00:00"/>
    <d v="2025-08-12T00:00:00"/>
    <x v="2"/>
    <m/>
    <s v="Shribalaji Pokalwar Petroleum"/>
    <s v="Shivam Singh"/>
    <s v="Onix"/>
    <s v="Hanegaon"/>
    <s v="Diesel for JCB"/>
    <x v="0"/>
    <n v="1500"/>
    <n v="0"/>
    <n v="1500"/>
    <n v="0"/>
    <n v="0"/>
    <m/>
    <n v="1500"/>
    <n v="1500"/>
    <n v="0"/>
    <m/>
  </r>
  <r>
    <n v="34"/>
    <d v="2025-08-12T00:00:00"/>
    <d v="2025-08-12T00:00:00"/>
    <x v="2"/>
    <n v="50500132"/>
    <s v="Vgeotech Experts Private Limited"/>
    <s v="VIPL_5779"/>
    <s v="Onix"/>
    <s v="Hanegaon"/>
    <s v="Advance Payment for Soil testing and survey"/>
    <x v="9"/>
    <n v="267500"/>
    <n v="48150"/>
    <n v="315650"/>
    <n v="5350"/>
    <n v="0"/>
    <m/>
    <n v="310300"/>
    <n v="0"/>
    <n v="310300"/>
    <m/>
  </r>
  <r>
    <n v="35"/>
    <d v="2025-08-13T00:00:00"/>
    <d v="2025-08-13T00:00:00"/>
    <x v="2"/>
    <m/>
    <s v="Shribalaji Pokalwar Petroleum"/>
    <s v="Shivam Singh"/>
    <s v="Onix"/>
    <s v="Hanegaon"/>
    <s v="Diesel for JCB"/>
    <x v="0"/>
    <n v="3000"/>
    <n v="0"/>
    <n v="3000"/>
    <n v="0"/>
    <n v="0"/>
    <m/>
    <n v="3000"/>
    <n v="3000"/>
    <n v="0"/>
    <m/>
  </r>
  <r>
    <n v="36"/>
    <d v="2025-08-13T00:00:00"/>
    <d v="2025-08-13T00:00:00"/>
    <x v="2"/>
    <m/>
    <s v="Shrikrishna Automobile"/>
    <s v="Shivam Singh"/>
    <s v="Onix"/>
    <s v="Hanegaon"/>
    <s v="Bike meter repairing"/>
    <x v="7"/>
    <n v="710"/>
    <n v="0"/>
    <n v="710"/>
    <n v="0"/>
    <n v="0"/>
    <m/>
    <n v="710"/>
    <n v="710"/>
    <n v="0"/>
    <m/>
  </r>
  <r>
    <n v="37"/>
    <d v="2025-08-13T00:00:00"/>
    <d v="2025-08-13T00:00:00"/>
    <x v="2"/>
    <m/>
    <s v="Choudhary Petroleum"/>
    <s v="Shivam Singh"/>
    <s v="Onix"/>
    <s v="Hanegaon"/>
    <s v="Bike Petrol"/>
    <x v="0"/>
    <n v="520"/>
    <n v="0"/>
    <n v="520"/>
    <n v="0"/>
    <n v="0"/>
    <m/>
    <n v="520"/>
    <n v="520"/>
    <n v="0"/>
    <m/>
  </r>
  <r>
    <n v="38"/>
    <d v="2025-08-14T00:00:00"/>
    <d v="2025-08-14T00:00:00"/>
    <x v="2"/>
    <s v=" "/>
    <s v="Shri Balaji Pokalwar"/>
    <s v="Manshi Tiwari"/>
    <s v="Onix"/>
    <s v="Hanegaon"/>
    <s v="Diesel for JCB"/>
    <x v="0"/>
    <n v="3000"/>
    <n v="0"/>
    <n v="3000"/>
    <n v="0"/>
    <n v="0"/>
    <m/>
    <n v="3000"/>
    <n v="3000"/>
    <n v="0"/>
    <m/>
  </r>
  <r>
    <n v="39"/>
    <d v="2025-08-15T00:00:00"/>
    <d v="2025-08-15T00:00:00"/>
    <x v="2"/>
    <m/>
    <s v="CS Ghule"/>
    <s v="Shivam Singh"/>
    <s v="Onix"/>
    <s v="Hanegaon"/>
    <s v="water can for Guest House"/>
    <x v="0"/>
    <n v="500"/>
    <n v="0"/>
    <n v="500"/>
    <n v="0"/>
    <n v="0"/>
    <m/>
    <n v="500"/>
    <n v="500"/>
    <n v="0"/>
    <m/>
  </r>
  <r>
    <n v="40"/>
    <d v="2025-08-18T00:00:00"/>
    <d v="2025-08-18T00:00:00"/>
    <x v="2"/>
    <m/>
    <s v="Ankush Kumar"/>
    <s v="Vatsinfra_ICICI"/>
    <s v="Onix"/>
    <s v="Hanegaon"/>
    <s v="Tanker Payment"/>
    <x v="6"/>
    <n v="3000"/>
    <n v="0"/>
    <n v="3000"/>
    <n v="0"/>
    <n v="0"/>
    <m/>
    <n v="3000"/>
    <n v="3000"/>
    <n v="0"/>
    <m/>
  </r>
  <r>
    <n v="41"/>
    <d v="2025-08-21T00:00:00"/>
    <d v="2025-08-21T00:00:00"/>
    <x v="2"/>
    <m/>
    <s v="Sun Petroleum"/>
    <s v="Shivam Singh"/>
    <s v="Onix"/>
    <s v="Hanegaon"/>
    <s v="Bike Petrol"/>
    <x v="0"/>
    <n v="210"/>
    <n v="0"/>
    <n v="210"/>
    <n v="0"/>
    <n v="0"/>
    <m/>
    <n v="210"/>
    <n v="210"/>
    <n v="0"/>
    <m/>
  </r>
  <r>
    <n v="42"/>
    <d v="2025-08-22T00:00:00"/>
    <d v="2025-08-22T00:00:00"/>
    <x v="2"/>
    <s v=" "/>
    <s v="Choudhary Petroleum"/>
    <s v="Shivam Singh"/>
    <s v="Onix"/>
    <s v="Hanegaon"/>
    <s v="JCB diesel"/>
    <x v="0"/>
    <n v="2000"/>
    <n v="0"/>
    <n v="2000"/>
    <n v="0"/>
    <n v="0"/>
    <n v="0"/>
    <n v="2000"/>
    <n v="2000"/>
    <n v="0"/>
    <m/>
  </r>
  <r>
    <n v="43"/>
    <d v="2025-08-23T00:00:00"/>
    <d v="2025-08-23T00:00:00"/>
    <x v="2"/>
    <m/>
    <s v="Choudhary Petroleum"/>
    <s v="Shivam Singh"/>
    <s v="Onix"/>
    <s v="Hanegaon"/>
    <s v="JCB diesel"/>
    <x v="0"/>
    <n v="900"/>
    <n v="0"/>
    <n v="900"/>
    <n v="0"/>
    <n v="0"/>
    <n v="0"/>
    <n v="900"/>
    <n v="900"/>
    <n v="0"/>
    <m/>
  </r>
  <r>
    <n v="44"/>
    <d v="2025-08-23T00:00:00"/>
    <d v="2025-08-23T00:00:00"/>
    <x v="2"/>
    <m/>
    <s v="Choudhary Petroleum"/>
    <s v="Shivam Singh"/>
    <s v="Onix"/>
    <s v="Hanegaon"/>
    <s v="JCB diesel"/>
    <x v="0"/>
    <n v="1500"/>
    <n v="0"/>
    <n v="1500"/>
    <n v="0"/>
    <n v="0"/>
    <n v="0"/>
    <n v="1500"/>
    <n v="1500"/>
    <n v="0"/>
    <m/>
  </r>
  <r>
    <n v="45"/>
    <d v="2025-08-23T00:00:00"/>
    <d v="2025-08-23T00:00:00"/>
    <x v="2"/>
    <m/>
    <s v="Choudhary Petroleum"/>
    <s v="Shivam Singh"/>
    <s v="Onix"/>
    <s v="Hanegaon"/>
    <s v="JCB diesel"/>
    <x v="0"/>
    <n v="2000"/>
    <n v="0"/>
    <n v="2000"/>
    <n v="0"/>
    <n v="0"/>
    <n v="0"/>
    <n v="2000"/>
    <n v="2000"/>
    <n v="0"/>
    <m/>
  </r>
  <r>
    <n v="46"/>
    <d v="2025-08-23T00:00:00"/>
    <d v="2025-08-23T00:00:00"/>
    <x v="2"/>
    <m/>
    <s v="Choudhary Petroleum"/>
    <s v="Shivam Singh"/>
    <s v="Onix"/>
    <s v="Hanegaon"/>
    <s v="Bike Petrol"/>
    <x v="0"/>
    <n v="520"/>
    <n v="0"/>
    <n v="520"/>
    <n v="0"/>
    <n v="0"/>
    <n v="0"/>
    <n v="520"/>
    <n v="520"/>
    <n v="0"/>
    <m/>
  </r>
  <r>
    <n v="47"/>
    <d v="2025-08-24T00:00:00"/>
    <d v="2025-08-24T00:00:00"/>
    <x v="2"/>
    <m/>
    <s v="Choudhary Petroleum"/>
    <s v="Shivam Singh"/>
    <s v="Onix"/>
    <s v="Hanegaon"/>
    <s v="JCB diesel"/>
    <x v="0"/>
    <n v="2000"/>
    <n v="0"/>
    <n v="2000"/>
    <n v="0"/>
    <n v="0"/>
    <n v="0"/>
    <n v="2000"/>
    <n v="2000"/>
    <n v="0"/>
    <m/>
  </r>
  <r>
    <n v="48"/>
    <d v="2025-08-29T00:00:00"/>
    <d v="2025-08-29T00:00:00"/>
    <x v="2"/>
    <s v=" "/>
    <s v="Vgeotech Experts Private Limited"/>
    <s v="VIPL_5779"/>
    <s v="Onix"/>
    <s v="Hanegaon"/>
    <s v="Soil testing payment at Hanegaon Site"/>
    <x v="9"/>
    <n v="0"/>
    <n v="0"/>
    <n v="0"/>
    <n v="0"/>
    <n v="0"/>
    <n v="0"/>
    <n v="0"/>
    <n v="31565"/>
    <n v="-31565"/>
    <s v="10% advance"/>
  </r>
  <r>
    <n v="49"/>
    <d v="2025-08-26T00:00:00"/>
    <d v="2025-08-26T00:00:00"/>
    <x v="2"/>
    <m/>
    <s v="Choudhary Petroleum"/>
    <s v="Shivam Singh"/>
    <s v="Onix"/>
    <s v="Hanegaon"/>
    <s v="JCB diesel"/>
    <x v="0"/>
    <n v="3000"/>
    <n v="0"/>
    <n v="3000"/>
    <n v="0"/>
    <n v="0"/>
    <n v="0"/>
    <n v="3000"/>
    <n v="3000"/>
    <n v="0"/>
    <m/>
  </r>
  <r>
    <n v="50"/>
    <d v="2025-08-29T00:00:00"/>
    <d v="2025-08-29T00:00:00"/>
    <x v="2"/>
    <m/>
    <s v="Gundaram"/>
    <s v="Shivam Singh"/>
    <s v="Onix"/>
    <s v="Hanegaon"/>
    <s v="Bike Servicing charge"/>
    <x v="7"/>
    <n v="740"/>
    <n v="0"/>
    <n v="740"/>
    <n v="0"/>
    <n v="0"/>
    <n v="0"/>
    <n v="740"/>
    <n v="740"/>
    <n v="0"/>
    <m/>
  </r>
  <r>
    <n v="51"/>
    <d v="2025-09-02T00:00:00"/>
    <s v="02-09-2025"/>
    <x v="3"/>
    <m/>
    <s v="Sun Petroleum"/>
    <s v="Shivam Singh"/>
    <s v="Onix"/>
    <s v="Hanegaon"/>
    <s v="Bike Petrol"/>
    <x v="0"/>
    <n v="520"/>
    <n v="0"/>
    <n v="520"/>
    <n v="0"/>
    <n v="0"/>
    <n v="0"/>
    <n v="520"/>
    <n v="520"/>
    <n v="0"/>
    <m/>
  </r>
  <r>
    <n v="52"/>
    <d v="2025-09-01T00:00:00"/>
    <d v="2025-09-01T00:00:00"/>
    <x v="3"/>
    <m/>
    <s v="SR Hardware"/>
    <s v="Shivam Singh"/>
    <s v="Onix"/>
    <s v="Hanegaon"/>
    <s v="Safety jacket-15 and Helmet- 15 pcs"/>
    <x v="10"/>
    <n v="1950"/>
    <n v="0"/>
    <n v="1950"/>
    <n v="0"/>
    <n v="0"/>
    <n v="0"/>
    <n v="1950"/>
    <n v="1950"/>
    <n v="0"/>
    <m/>
  </r>
  <r>
    <n v="53"/>
    <d v="2025-09-01T00:00:00"/>
    <d v="2025-09-01T00:00:00"/>
    <x v="3"/>
    <m/>
    <s v="Choudhary Petroleum"/>
    <s v="Shivam Singh"/>
    <s v="Onix"/>
    <s v="Hanegaon"/>
    <s v="JCB diesel"/>
    <x v="0"/>
    <n v="2000"/>
    <n v="0"/>
    <n v="2000"/>
    <n v="0"/>
    <n v="0"/>
    <n v="0"/>
    <n v="2000"/>
    <n v="2000"/>
    <n v="0"/>
    <m/>
  </r>
  <r>
    <n v="54"/>
    <d v="2025-08-26T00:00:00"/>
    <d v="2025-09-03T00:00:00"/>
    <x v="2"/>
    <m/>
    <s v="Shivaji Govind Pawar"/>
    <s v="Vatsinfra_ICICI"/>
    <s v="Onix"/>
    <s v="Hanegaon"/>
    <s v="JCB rent advance"/>
    <x v="5"/>
    <n v="61693"/>
    <n v="0"/>
    <n v="61693"/>
    <n v="1102"/>
    <n v="0"/>
    <n v="0"/>
    <n v="60591"/>
    <n v="10000"/>
    <n v="50591"/>
    <m/>
  </r>
  <r>
    <n v="55"/>
    <d v="2025-06-30T00:00:00"/>
    <d v="2025-09-03T00:00:00"/>
    <x v="1"/>
    <m/>
    <s v="Rahul Rai "/>
    <s v="Vatsinfra_ICICI"/>
    <s v="Onix"/>
    <s v="Hanegaon"/>
    <s v="Travel Reimburshemnt for Site Visit"/>
    <x v="4"/>
    <n v="17237.150000000001"/>
    <n v="0"/>
    <n v="17237.150000000001"/>
    <n v="0"/>
    <n v="0"/>
    <n v="0"/>
    <n v="17237.150000000001"/>
    <n v="17237"/>
    <n v="0.15000000000145519"/>
    <m/>
  </r>
  <r>
    <n v="56"/>
    <d v="2025-08-31T00:00:00"/>
    <d v="2025-09-10T00:00:00"/>
    <x v="2"/>
    <m/>
    <s v="Shivaji Govind Pawar"/>
    <s v="Vatsinfra_ICICI"/>
    <s v="Onix"/>
    <s v="Hanegaon"/>
    <s v="Advance for JCB"/>
    <x v="5"/>
    <n v="0"/>
    <n v="0"/>
    <n v="0"/>
    <n v="0"/>
    <n v="0"/>
    <n v="0"/>
    <n v="0"/>
    <n v="4000"/>
    <n v="-4000"/>
    <m/>
  </r>
  <r>
    <n v="57"/>
    <d v="2025-09-07T00:00:00"/>
    <d v="2025-09-07T00:00:00"/>
    <x v="3"/>
    <m/>
    <s v="Sun Petroleum"/>
    <s v="Shivam Singh"/>
    <s v="Onix"/>
    <s v="Hanegaon"/>
    <s v="Bike Petrol"/>
    <x v="0"/>
    <n v="520"/>
    <n v="0"/>
    <n v="520"/>
    <n v="0"/>
    <n v="0"/>
    <n v="0"/>
    <n v="520"/>
    <n v="520"/>
    <n v="0"/>
    <m/>
  </r>
  <r>
    <n v="58"/>
    <d v="2025-08-12T00:00:00"/>
    <d v="2025-09-12T00:00:00"/>
    <x v="2"/>
    <m/>
    <s v="Shivaji Govind Pawar"/>
    <s v="Vatsinfra_ICICI"/>
    <s v="Onix"/>
    <s v="Hanegaon"/>
    <s v="JCB payment for -08-ust 2025"/>
    <x v="5"/>
    <n v="0"/>
    <n v="0"/>
    <n v="0"/>
    <n v="0"/>
    <n v="0"/>
    <n v="0"/>
    <n v="0"/>
    <n v="30000"/>
    <n v="-30000"/>
    <m/>
  </r>
  <r>
    <n v="59"/>
    <d v="2025-09-11T00:00:00"/>
    <d v="2025-09-11T00:00:00"/>
    <x v="3"/>
    <m/>
    <s v="Choudhary Petroleum"/>
    <s v="Shivam Singh"/>
    <s v="Onix"/>
    <s v="Hanegaon"/>
    <s v="JCB diesel"/>
    <x v="0"/>
    <n v="5000"/>
    <n v="0"/>
    <n v="5000"/>
    <n v="0"/>
    <n v="0"/>
    <n v="0"/>
    <n v="5000"/>
    <n v="5000"/>
    <n v="0"/>
    <m/>
  </r>
  <r>
    <n v="60"/>
    <d v="2025-09-12T00:00:00"/>
    <d v="2025-09-12T00:00:00"/>
    <x v="3"/>
    <m/>
    <s v="Choudhary Petroleum"/>
    <s v="Shivam Singh"/>
    <s v="Onix"/>
    <s v="Hanegaon"/>
    <s v="JCB diesel"/>
    <x v="0"/>
    <n v="4351"/>
    <n v="0"/>
    <n v="4351"/>
    <n v="0"/>
    <n v="0"/>
    <n v="0"/>
    <n v="4351"/>
    <n v="4351"/>
    <n v="0"/>
    <m/>
  </r>
  <r>
    <n v="61"/>
    <d v="2025-09-10T00:00:00"/>
    <d v="2025-09-24T00:00:00"/>
    <x v="3"/>
    <s v="43"/>
    <s v="Alfa Cement Contraction"/>
    <s v="VIPL_5779"/>
    <s v="Onix"/>
    <s v="Hanegaon"/>
    <s v="Installation &amp; Supply of Precast"/>
    <x v="11"/>
    <n v="69000"/>
    <n v="12420"/>
    <n v="81420"/>
    <n v="690"/>
    <n v="0"/>
    <n v="0"/>
    <n v="80730"/>
    <n v="80730"/>
    <n v="0"/>
    <s v="Advance Salary"/>
  </r>
  <r>
    <n v="62"/>
    <d v="2025-09-30T00:00:00"/>
    <d v="2025-09-19T00:00:00"/>
    <x v="3"/>
    <m/>
    <s v="Shivam Singh"/>
    <s v="VIPL_5779"/>
    <s v="Onix"/>
    <s v="Hanegaon"/>
    <s v="Advance salary for -09- 2025 "/>
    <x v="8"/>
    <n v="0"/>
    <n v="0"/>
    <n v="0"/>
    <n v="0"/>
    <n v="0"/>
    <n v="0"/>
    <n v="0"/>
    <n v="18000"/>
    <n v="-18000"/>
    <m/>
  </r>
  <r>
    <n v="63"/>
    <d v="2025-09-06T00:00:00"/>
    <d v="2025-09-17T00:00:00"/>
    <x v="3"/>
    <s v="18"/>
    <s v="Shreein Surveyour"/>
    <s v="VIPL_5779"/>
    <s v="Onix"/>
    <s v="Hanegaon"/>
    <s v="Topography Survey"/>
    <x v="9"/>
    <n v="30000"/>
    <n v="5400"/>
    <n v="35400"/>
    <n v="0"/>
    <n v="0"/>
    <n v="0"/>
    <n v="35400"/>
    <n v="35400"/>
    <n v="0"/>
    <s v="Gst Payment"/>
  </r>
  <r>
    <n v="64"/>
    <d v="2025-09-01T00:00:00"/>
    <d v="2025-09-18T00:00:00"/>
    <x v="3"/>
    <m/>
    <s v="Amar Umakant"/>
    <s v="Manshi Tiwari"/>
    <s v="Onix"/>
    <s v="Hanegaon"/>
    <s v="Room rent for -09- 2025"/>
    <x v="2"/>
    <n v="6000"/>
    <n v="0"/>
    <n v="6000"/>
    <n v="0"/>
    <n v="0"/>
    <n v="0"/>
    <n v="6000"/>
    <n v="6000"/>
    <n v="0"/>
    <m/>
  </r>
  <r>
    <n v="65"/>
    <d v="2025-09-15T00:00:00"/>
    <d v="2025-09-18T00:00:00"/>
    <x v="3"/>
    <m/>
    <s v="Shivaji Govind Pawar"/>
    <s v="Sadhu"/>
    <s v="Onix"/>
    <s v="Hanegaon"/>
    <s v="Jcb rent final Payment"/>
    <x v="5"/>
    <n v="17000"/>
    <n v="0"/>
    <n v="17000"/>
    <n v="0"/>
    <n v="0"/>
    <n v="0"/>
    <n v="17000"/>
    <n v="22041"/>
    <n v="-5041"/>
    <m/>
  </r>
  <r>
    <n v="66"/>
    <d v="2025-09-15T00:00:00"/>
    <d v="2025-09-15T00:00:00"/>
    <x v="3"/>
    <m/>
    <s v="Choudhary Petroleum"/>
    <s v="Shivam Singh"/>
    <s v="Onix"/>
    <s v="Hanegaon"/>
    <s v="Jcb Diesel"/>
    <x v="0"/>
    <n v="1500"/>
    <n v="0"/>
    <n v="1500"/>
    <n v="0"/>
    <n v="0"/>
    <n v="0"/>
    <n v="1500"/>
    <n v="1500"/>
    <n v="0"/>
    <m/>
  </r>
  <r>
    <n v="67"/>
    <d v="2025-09-22T00:00:00"/>
    <d v="2025-09-22T00:00:00"/>
    <x v="3"/>
    <m/>
    <s v="Amar Umakant"/>
    <s v="Shivam Singh"/>
    <s v="Onix"/>
    <s v="Hanegaon"/>
    <s v="Electricity bill for-09-2025"/>
    <x v="6"/>
    <n v="569"/>
    <n v="0"/>
    <n v="569"/>
    <n v="0"/>
    <n v="0"/>
    <n v="0"/>
    <n v="569"/>
    <n v="569"/>
    <n v="0"/>
    <m/>
  </r>
  <r>
    <n v="68"/>
    <d v="2025-09-24T00:00:00"/>
    <d v="2025-09-24T00:00:00"/>
    <x v="3"/>
    <m/>
    <s v="Sun Petroleum"/>
    <s v="Shivam Singh"/>
    <s v="Onix"/>
    <s v="Hanegaon"/>
    <s v="Bike Petrol"/>
    <x v="0"/>
    <n v="520"/>
    <n v="0"/>
    <n v="520"/>
    <n v="0"/>
    <n v="0"/>
    <n v="0"/>
    <n v="520"/>
    <n v="520"/>
    <n v="0"/>
    <m/>
  </r>
  <r>
    <n v="69"/>
    <d v="2025-10-01T00:00:00"/>
    <d v="2025-10-05T00:00:00"/>
    <x v="4"/>
    <m/>
    <s v="Amar Umakant"/>
    <s v="Vatsinfra_ICICI"/>
    <s v="Onix"/>
    <s v="Hanegaon"/>
    <s v="Guest house rent for -10- 2025"/>
    <x v="2"/>
    <n v="6000"/>
    <n v="0"/>
    <n v="6000"/>
    <n v="0"/>
    <n v="0"/>
    <n v="0"/>
    <n v="6000"/>
    <n v="6000"/>
    <n v="0"/>
    <m/>
  </r>
  <r>
    <n v="70"/>
    <d v="2025-10-07T00:00:00"/>
    <d v="2025-10-07T00:00:00"/>
    <x v="4"/>
    <m/>
    <s v="UPPE Petroleum"/>
    <s v="Shivam Singh"/>
    <s v="Onix"/>
    <s v="Hanegaon"/>
    <s v="Bike Petrol"/>
    <x v="0"/>
    <n v="510"/>
    <n v="0"/>
    <n v="510"/>
    <n v="0"/>
    <n v="0"/>
    <n v="0"/>
    <n v="510"/>
    <n v="510"/>
    <n v="0"/>
    <m/>
  </r>
  <r>
    <n v="71"/>
    <d v="2025-10-11T00:00:00"/>
    <d v="2025-10-11T00:00:00"/>
    <x v="4"/>
    <s v="180"/>
    <s v="Geetanjali"/>
    <s v="Shivam Singh"/>
    <s v="Onix"/>
    <s v="Hanegaon"/>
    <s v="Falx board printing charge"/>
    <x v="12"/>
    <n v="1400"/>
    <n v="0"/>
    <n v="1400"/>
    <n v="0"/>
    <n v="0"/>
    <n v="0"/>
    <n v="1400"/>
    <n v="1400"/>
    <n v="0"/>
    <m/>
  </r>
  <r>
    <n v="72"/>
    <d v="2025-10-13T00:00:00"/>
    <d v="2025-10-13T00:00:00"/>
    <x v="4"/>
    <m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73"/>
    <d v="2025-10-14T00:00:00"/>
    <d v="2025-10-14T00:00:00"/>
    <x v="4"/>
    <m/>
    <s v="Choudhary Petroleum"/>
    <s v="Shivam Singh"/>
    <s v="Onix"/>
    <s v="Hanegaon"/>
    <s v="Bike Petrol"/>
    <x v="0"/>
    <n v="510"/>
    <n v="0"/>
    <n v="510"/>
    <n v="0"/>
    <n v="0"/>
    <n v="0"/>
    <n v="510"/>
    <n v="510"/>
    <n v="0"/>
    <m/>
  </r>
  <r>
    <n v="74"/>
    <d v="2025-10-14T00:00:00"/>
    <d v="2025-10-14T00:00:00"/>
    <x v="4"/>
    <m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75"/>
    <d v="2025-10-15T00:00:00"/>
    <d v="2025-10-15T00:00:00"/>
    <x v="4"/>
    <s v=" "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76"/>
    <d v="2025-10-17T00:00:00"/>
    <d v="2025-10-17T00:00:00"/>
    <x v="4"/>
    <s v=" "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77"/>
    <d v="2025-10-18T00:00:00"/>
    <d v="2025-10-18T00:00:00"/>
    <x v="4"/>
    <m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78"/>
    <d v="2025-10-19T00:00:00"/>
    <d v="2025-10-19T00:00:00"/>
    <x v="4"/>
    <m/>
    <s v="Choudhary Petroleum"/>
    <s v="Shivam Singh"/>
    <s v="Onix"/>
    <s v="Hanegaon"/>
    <s v="Bike Petrol"/>
    <x v="0"/>
    <n v="510"/>
    <n v="0"/>
    <n v="510"/>
    <n v="0"/>
    <n v="0"/>
    <n v="0"/>
    <n v="510"/>
    <n v="510"/>
    <n v="0"/>
    <m/>
  </r>
  <r>
    <n v="79"/>
    <d v="2025-10-19T00:00:00"/>
    <d v="2025-10-19T00:00:00"/>
    <x v="4"/>
    <s v=" "/>
    <s v="Choudhary Petroleum"/>
    <s v="Shivam Singh"/>
    <s v="Onix"/>
    <s v="Hanegaon"/>
    <s v="Diesel for JCB"/>
    <x v="0"/>
    <n v="4500"/>
    <n v="0"/>
    <n v="4500"/>
    <n v="0"/>
    <n v="0"/>
    <n v="0"/>
    <n v="4500"/>
    <n v="4500"/>
    <n v="0"/>
    <m/>
  </r>
  <r>
    <n v="80"/>
    <d v="2025-10-23T00:00:00"/>
    <d v="2025-10-23T00:00:00"/>
    <x v="4"/>
    <m/>
    <s v="Chandrayya"/>
    <s v="Shivam Singh"/>
    <s v="Onix"/>
    <s v="Hanegaon"/>
    <s v="Bike Service Charge"/>
    <x v="7"/>
    <n v="290"/>
    <n v="0"/>
    <n v="290"/>
    <n v="0"/>
    <n v="0"/>
    <n v="0"/>
    <n v="290"/>
    <n v="290"/>
    <n v="0"/>
    <m/>
  </r>
  <r>
    <n v="81"/>
    <d v="2025-10-23T00:00:00"/>
    <d v="2025-10-23T00:00:00"/>
    <x v="4"/>
    <s v=" "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82"/>
    <d v="2025-10-26T00:00:00"/>
    <d v="2025-10-26T00:00:00"/>
    <x v="4"/>
    <s v=" "/>
    <s v="Sun Petroleum"/>
    <s v="Shivam Singh"/>
    <s v="Onix"/>
    <s v="Hanegaon"/>
    <s v="Bike Petrol"/>
    <x v="0"/>
    <n v="299.49"/>
    <n v="0"/>
    <n v="299.49"/>
    <n v="0"/>
    <n v="0"/>
    <n v="0"/>
    <n v="299.49"/>
    <n v="300"/>
    <n v="-0.50999999999999091"/>
    <m/>
  </r>
  <r>
    <n v="83"/>
    <d v="2025-10-26T00:00:00"/>
    <d v="2025-10-26T00:00:00"/>
    <x v="4"/>
    <s v=" "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84"/>
    <d v="2025-10-27T00:00:00"/>
    <d v="2025-10-27T00:00:00"/>
    <x v="4"/>
    <m/>
    <s v="Amar Umakant"/>
    <s v="Shivam Singh"/>
    <s v="Onix"/>
    <s v="Hanegaon"/>
    <s v="Guest House Electricity bill"/>
    <x v="6"/>
    <n v="380"/>
    <n v="0"/>
    <n v="380"/>
    <n v="0"/>
    <n v="0"/>
    <n v="0"/>
    <n v="380"/>
    <n v="380"/>
    <n v="0"/>
    <m/>
  </r>
  <r>
    <n v="85"/>
    <d v="2025-11-01T00:00:00"/>
    <d v="2025-11-07T00:00:00"/>
    <x v="5"/>
    <m/>
    <s v="Amar Umakant"/>
    <s v="Manshi Tiwari"/>
    <s v="Onix"/>
    <s v="Hanegaon"/>
    <s v="Guest house rent for -11- 2025"/>
    <x v="2"/>
    <n v="6000"/>
    <n v="0"/>
    <n v="6000"/>
    <n v="0"/>
    <n v="0"/>
    <n v="0"/>
    <n v="6000"/>
    <n v="6000"/>
    <n v="0"/>
    <m/>
  </r>
  <r>
    <n v="86"/>
    <d v="2025-11-04T00:00:00"/>
    <d v="2025-11-09T00:00:00"/>
    <x v="5"/>
    <m/>
    <s v="Shivaji Govind Pawar"/>
    <s v="Vatsinfra_ICICI"/>
    <s v="Onix"/>
    <s v="Hanegaon"/>
    <s v="JCB rent for 12 Days"/>
    <x v="5"/>
    <n v="32903"/>
    <n v="0"/>
    <n v="32903"/>
    <n v="0"/>
    <n v="0"/>
    <n v="0"/>
    <n v="32903"/>
    <n v="32903"/>
    <n v="0"/>
    <s v="12903- Paid on 16-12-2025"/>
  </r>
  <r>
    <n v="87"/>
    <d v="2025-10-31T00:00:00"/>
    <d v="2025-10-31T00:00:00"/>
    <x v="4"/>
    <m/>
    <s v="UPPE Petroleum"/>
    <s v="Shivam Singh"/>
    <s v="Onix"/>
    <s v="Hanegaon"/>
    <s v="Bike Petrol"/>
    <x v="0"/>
    <n v="520"/>
    <n v="0"/>
    <n v="520"/>
    <n v="0"/>
    <n v="0"/>
    <n v="0"/>
    <n v="520"/>
    <n v="520"/>
    <n v="0"/>
    <m/>
  </r>
  <r>
    <n v="88"/>
    <d v="2025-11-05T00:00:00"/>
    <d v="2025-11-05T00:00:00"/>
    <x v="5"/>
    <m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89"/>
    <d v="2025-11-06T00:00:00"/>
    <d v="2025-11-06T00:00:00"/>
    <x v="5"/>
    <m/>
    <s v="Choudhary Petroleum"/>
    <s v="Shivam Singh"/>
    <s v="Onix"/>
    <s v="Hanegaon"/>
    <s v="Diesel for JCB"/>
    <x v="0"/>
    <n v="5000"/>
    <n v="0"/>
    <n v="5000"/>
    <n v="0"/>
    <n v="0"/>
    <n v="0"/>
    <n v="5000"/>
    <n v="5000"/>
    <n v="0"/>
    <m/>
  </r>
  <r>
    <n v="90"/>
    <d v="2025-11-07T00:00:00"/>
    <d v="2025-11-07T00:00:00"/>
    <x v="5"/>
    <m/>
    <s v="Choudhary Petroleum"/>
    <s v="Shivam Singh"/>
    <s v="Onix"/>
    <s v="Hanegaon"/>
    <s v="Bike Petrol"/>
    <x v="0"/>
    <n v="510"/>
    <n v="0"/>
    <n v="510"/>
    <n v="0"/>
    <n v="0"/>
    <n v="0"/>
    <n v="510"/>
    <n v="510"/>
    <n v="0"/>
    <m/>
  </r>
  <r>
    <n v="91"/>
    <d v="2025-11-13T00:00:00"/>
    <d v="2025-11-13T00:00:00"/>
    <x v="5"/>
    <m/>
    <s v="Sun Petroleum"/>
    <s v="Shivam Singh"/>
    <s v="Onix"/>
    <s v="Hanegaon"/>
    <s v="Bike Petrol"/>
    <x v="0"/>
    <n v="520"/>
    <n v="0"/>
    <n v="520"/>
    <n v="0"/>
    <n v="0"/>
    <n v="0"/>
    <n v="520"/>
    <n v="520"/>
    <n v="0"/>
    <m/>
  </r>
  <r>
    <n v="92"/>
    <d v="2025-11-17T00:00:00"/>
    <d v="2025-12-16T00:00:00"/>
    <x v="5"/>
    <m/>
    <s v="Shivaji Govind Pawar"/>
    <s v="Vatsinfra_ICICI"/>
    <s v="Onix"/>
    <s v="Hanegaon"/>
    <s v="3 Days JCB rent"/>
    <x v="5"/>
    <n v="8225.81"/>
    <n v="0"/>
    <n v="8225.81"/>
    <n v="0"/>
    <n v="0"/>
    <n v="0"/>
    <n v="8225.81"/>
    <n v="8225.81"/>
    <n v="0"/>
    <m/>
  </r>
  <r>
    <n v="93"/>
    <d v="2025-10-31T00:00:00"/>
    <d v="2025-11-11T00:00:00"/>
    <x v="4"/>
    <m/>
    <s v="Staff Salary"/>
    <s v="VIPL_5779"/>
    <s v="Onix"/>
    <s v="Hanegaon"/>
    <s v="Staff Salary for Oct 2025"/>
    <x v="8"/>
    <n v="128000"/>
    <n v="0"/>
    <n v="128000"/>
    <n v="0"/>
    <n v="6886"/>
    <n v="0"/>
    <n v="121114"/>
    <n v="115114"/>
    <n v="6000"/>
    <m/>
  </r>
  <r>
    <n v="94"/>
    <d v="2025-11-17T00:00:00"/>
    <d v="2025-11-17T00:00:00"/>
    <x v="5"/>
    <m/>
    <s v="UPPE Petroleum"/>
    <s v="Shivam Singh"/>
    <s v="Onix"/>
    <s v="Hanegaon"/>
    <s v="Bike Petrol"/>
    <x v="0"/>
    <n v="520"/>
    <n v="0"/>
    <n v="520"/>
    <n v="0"/>
    <m/>
    <m/>
    <n v="520"/>
    <n v="520"/>
    <n v="0"/>
    <m/>
  </r>
  <r>
    <n v="95"/>
    <d v="2025-11-14T00:00:00"/>
    <d v="2025-12-16T00:00:00"/>
    <x v="5"/>
    <m/>
    <s v="Kapil Hulram"/>
    <s v="Vatsinfra_ICICI"/>
    <s v="Onix"/>
    <s v="Hanegaon"/>
    <s v="Local JCB charges"/>
    <x v="5"/>
    <n v="3300"/>
    <n v="0"/>
    <n v="3300"/>
    <n v="0"/>
    <n v="0"/>
    <n v="0"/>
    <n v="3300"/>
    <n v="3300"/>
    <n v="0"/>
    <m/>
  </r>
  <r>
    <n v="96"/>
    <d v="2025-08-31T00:00:00"/>
    <d v="2025-09-11T00:00:00"/>
    <x v="2"/>
    <m/>
    <s v="Staff Salary"/>
    <s v="VIPL_5779"/>
    <s v="Onix"/>
    <s v="Hanegaon"/>
    <s v="Staff Salary for August 2025"/>
    <x v="8"/>
    <n v="128000"/>
    <n v="0"/>
    <n v="128000"/>
    <n v="0"/>
    <n v="6885.6"/>
    <n v="0"/>
    <n v="121114.4"/>
    <n v="121114"/>
    <n v="0.39999999999417923"/>
    <m/>
  </r>
  <r>
    <n v="97"/>
    <d v="2025-10-03T00:00:00"/>
    <d v="2025-09-16T00:00:00"/>
    <x v="4"/>
    <s v="USPLTI252671"/>
    <s v="Urjavinya Solutions Private Limited"/>
    <s v="VIPL_5779"/>
    <s v="Onix"/>
    <s v="Hanegaon"/>
    <s v="Design and engineering consultancy"/>
    <x v="9"/>
    <n v="175000"/>
    <n v="31500"/>
    <n v="206500"/>
    <n v="17500"/>
    <m/>
    <m/>
    <n v="189000"/>
    <n v="175000"/>
    <n v="14000"/>
    <m/>
  </r>
  <r>
    <n v="98"/>
    <d v="2025-11-23T00:00:00"/>
    <d v="2025-11-23T00:00:00"/>
    <x v="5"/>
    <s v="250842225K115589"/>
    <s v="UPPE Petroleum"/>
    <s v="Shivam Singh"/>
    <s v="Onix"/>
    <s v="Hanegaon"/>
    <s v="Bike Petrol"/>
    <x v="0"/>
    <n v="310"/>
    <m/>
    <n v="310"/>
    <m/>
    <m/>
    <m/>
    <n v="310"/>
    <n v="310"/>
    <n v="0"/>
    <m/>
  </r>
  <r>
    <n v="99"/>
    <d v="2025-09-30T00:00:00"/>
    <d v="2025-10-10T00:00:00"/>
    <x v="3"/>
    <m/>
    <s v="Staff Salary"/>
    <s v="VIPL_5779"/>
    <s v="Onix"/>
    <s v="Hanegaon"/>
    <s v="Staff salary for sept 2025"/>
    <x v="8"/>
    <n v="148000"/>
    <m/>
    <n v="148000"/>
    <m/>
    <n v="10171"/>
    <n v="548"/>
    <n v="137281"/>
    <n v="137281"/>
    <n v="0"/>
    <m/>
  </r>
  <r>
    <n v="100"/>
    <d v="2025-11-28T00:00:00"/>
    <d v="2025-11-28T00:00:00"/>
    <x v="5"/>
    <s v="250842225K219185"/>
    <s v="UPPE Petroleum"/>
    <s v="Shivam Singh"/>
    <s v="Onix"/>
    <s v="Hanegaon"/>
    <s v="Petrol for bike"/>
    <x v="0"/>
    <n v="310"/>
    <m/>
    <n v="310"/>
    <m/>
    <m/>
    <m/>
    <n v="310"/>
    <n v="310"/>
    <n v="0"/>
    <m/>
  </r>
  <r>
    <n v="101"/>
    <d v="2025-11-18T00:00:00"/>
    <d v="2025-12-01T00:00:00"/>
    <x v="5"/>
    <s v="USPLTI252679"/>
    <s v="Urjavinya Solutions Private Limited"/>
    <s v="VIPL_5779"/>
    <s v="Onix"/>
    <s v="Hanegaon"/>
    <s v="Design and engineering consultancy"/>
    <x v="9"/>
    <n v="175000"/>
    <n v="31500"/>
    <n v="206500"/>
    <n v="17500"/>
    <m/>
    <m/>
    <n v="189000"/>
    <n v="157500"/>
    <n v="31500"/>
    <m/>
  </r>
  <r>
    <n v="102"/>
    <d v="2025-11-30T00:00:00"/>
    <d v="2025-12-16T00:00:00"/>
    <x v="5"/>
    <m/>
    <s v="Staff Salary"/>
    <s v="VIPL_2754"/>
    <s v="Onix"/>
    <s v="Hanegaon"/>
    <s v="Staff salary for Nov 2025"/>
    <x v="8"/>
    <n v="148000"/>
    <m/>
    <n v="148000"/>
    <m/>
    <n v="10171.200000000001"/>
    <n v="547.6"/>
    <n v="137281.19999999998"/>
    <n v="131281"/>
    <n v="6000.1999999999825"/>
    <s v="6000 - advance "/>
  </r>
  <r>
    <n v="103"/>
    <d v="2025-12-16T00:00:00"/>
    <d v="2025-12-16T00:00:00"/>
    <x v="6"/>
    <m/>
    <s v="Amar Umakant"/>
    <s v="Vatsinfra_ICICI"/>
    <s v="Onix"/>
    <s v="Hanegaon"/>
    <s v="Guest House rent "/>
    <x v="2"/>
    <n v="6000"/>
    <m/>
    <n v="6000"/>
    <m/>
    <m/>
    <m/>
    <n v="6000"/>
    <n v="6000"/>
    <n v="0"/>
    <m/>
  </r>
  <r>
    <n v="104"/>
    <d v="2025-11-30T00:00:00"/>
    <d v="2025-12-18T00:00:00"/>
    <x v="5"/>
    <m/>
    <s v="Maharaj Singh"/>
    <s v="Vatsinfra_ICICI"/>
    <s v="Onix"/>
    <s v="Hanegaon"/>
    <s v="Water Tanker payment from 21-30 Nov 2025 (600*10 days)"/>
    <x v="6"/>
    <n v="6000"/>
    <m/>
    <n v="6000"/>
    <m/>
    <m/>
    <m/>
    <n v="6000"/>
    <n v="6000"/>
    <n v="0"/>
    <m/>
  </r>
  <r>
    <n v="105"/>
    <d v="2025-11-30T00:00:00"/>
    <d v="2025-12-18T00:00:00"/>
    <x v="5"/>
    <m/>
    <s v="Maharaj Singh"/>
    <s v="Vatsinfra_ICICI"/>
    <s v="Onix"/>
    <s v="Hanegaon"/>
    <s v="Tractor  rent payment from 21-30 Nov 2025 (1000*10)"/>
    <x v="13"/>
    <n v="10000"/>
    <m/>
    <n v="10000"/>
    <m/>
    <m/>
    <m/>
    <n v="10000"/>
    <n v="10000"/>
    <n v="0"/>
    <m/>
  </r>
  <r>
    <n v="106"/>
    <d v="2025-12-24T00:00:00"/>
    <d v="2025-12-15T00:00:00"/>
    <x v="6"/>
    <n v="45"/>
    <s v="Alfa Cement Contraction"/>
    <s v="VIPL_2754"/>
    <s v="Onix"/>
    <s v="Hanegaon"/>
    <s v="Installation &amp; Supply of Precast"/>
    <x v="11"/>
    <n v="82800"/>
    <n v="14904"/>
    <n v="97704"/>
    <n v="828"/>
    <m/>
    <m/>
    <n v="96876"/>
    <n v="96876"/>
    <n v="0"/>
    <n v="108606"/>
  </r>
  <r>
    <n v="107"/>
    <d v="2025-12-28T00:00:00"/>
    <d v="2025-12-28T00:00:00"/>
    <x v="6"/>
    <m/>
    <s v="Sayyad Sahil"/>
    <s v="Amit Pandey"/>
    <s v="Onix"/>
    <s v="Hanegaon"/>
    <s v="Pickup and Labour charges"/>
    <x v="1"/>
    <n v="7600"/>
    <m/>
    <n v="7600"/>
    <m/>
    <m/>
    <m/>
    <n v="7600"/>
    <n v="7600"/>
    <n v="0"/>
    <m/>
  </r>
  <r>
    <n v="108"/>
    <d v="2025-12-29T00:00:00"/>
    <d v="2025-12-29T00:00:00"/>
    <x v="6"/>
    <m/>
    <s v="UPPE Petroleum"/>
    <s v="Amit Pandey"/>
    <s v="Onix"/>
    <s v="Hanegaon"/>
    <s v="Petrol for bike"/>
    <x v="0"/>
    <n v="400"/>
    <m/>
    <n v="400"/>
    <m/>
    <m/>
    <m/>
    <n v="400"/>
    <n v="400"/>
    <n v="0"/>
    <m/>
  </r>
  <r>
    <n v="109"/>
    <d v="2026-01-08T00:00:00"/>
    <d v="2026-01-14T00:00:00"/>
    <x v="7"/>
    <m/>
    <s v="Amar Umakant"/>
    <s v="Manshi Tiwari"/>
    <s v="Onix"/>
    <s v="Hanegaon"/>
    <s v="Room rent "/>
    <x v="2"/>
    <n v="6000"/>
    <m/>
    <n v="6000"/>
    <m/>
    <m/>
    <m/>
    <n v="6000"/>
    <n v="6000"/>
    <n v="0"/>
    <m/>
  </r>
  <r>
    <n v="110"/>
    <d v="2026-01-15T00:00:00"/>
    <d v="2026-01-15T00:00:00"/>
    <x v="7"/>
    <m/>
    <s v="Amar Umakant"/>
    <s v="Shivam Singh"/>
    <s v="Onix"/>
    <s v="Hanegaon"/>
    <s v="Payment of Guest house Electricity bill for Oct,Nov&amp; Dec"/>
    <x v="6"/>
    <n v="1208"/>
    <m/>
    <n v="1208"/>
    <m/>
    <m/>
    <m/>
    <n v="1208"/>
    <n v="1208"/>
    <n v="0"/>
    <m/>
  </r>
  <r>
    <n v="111"/>
    <d v="2026-01-15T00:00:00"/>
    <d v="2026-01-15T00:00:00"/>
    <x v="7"/>
    <m/>
    <s v="UPPE Petroleum"/>
    <s v="Shivam Singh"/>
    <s v="Onix"/>
    <s v="Hanegaon"/>
    <s v="Petrol for bike"/>
    <x v="0"/>
    <n v="110"/>
    <m/>
    <n v="110"/>
    <m/>
    <m/>
    <m/>
    <n v="110"/>
    <n v="110"/>
    <n v="0"/>
    <s v="Amit pandey paid it"/>
  </r>
  <r>
    <n v="112"/>
    <d v="2026-01-17T00:00:00"/>
    <d v="2026-01-17T00:00:00"/>
    <x v="7"/>
    <m/>
    <s v="MS Chaudhary Petroleum Hanegaon"/>
    <s v="Shivam Singh"/>
    <s v="Onix"/>
    <s v="Hanegaon"/>
    <s v="Petrol for bike"/>
    <x v="0"/>
    <n v="520"/>
    <m/>
    <n v="520"/>
    <m/>
    <m/>
    <m/>
    <n v="520"/>
    <n v="520"/>
    <n v="0"/>
    <m/>
  </r>
  <r>
    <n v="113"/>
    <d v="2026-01-30T00:00:00"/>
    <d v="2026-02-02T00:00:00"/>
    <x v="7"/>
    <m/>
    <s v="Amar Umakant"/>
    <s v="Satish Chandra Mishra"/>
    <s v="Onix "/>
    <s v="Hanegaon"/>
    <s v="Room rent"/>
    <x v="2"/>
    <n v="6000"/>
    <m/>
    <n v="6000"/>
    <m/>
    <m/>
    <m/>
    <n v="6000"/>
    <n v="6000"/>
    <n v="0"/>
    <m/>
  </r>
  <r>
    <n v="114"/>
    <d v="2026-01-15T00:00:00"/>
    <m/>
    <x v="7"/>
    <n v="46"/>
    <s v="Alfa Cement Contraction"/>
    <s v="VIPL_2754"/>
    <s v="Onix"/>
    <s v="Hanegaon"/>
    <s v="Installation &amp; Supply of Precast"/>
    <x v="11"/>
    <n v="690000"/>
    <n v="124200"/>
    <n v="814200"/>
    <n v="6900"/>
    <m/>
    <m/>
    <n v="807300"/>
    <m/>
    <n v="807300"/>
    <n v="108606"/>
  </r>
  <r>
    <n v="115"/>
    <d v="2026-02-09T00:00:00"/>
    <d v="2026-02-09T00:00:00"/>
    <x v="8"/>
    <m/>
    <s v="DTDC"/>
    <s v="Manshi Tiwari"/>
    <s v="Onix"/>
    <s v="Hanegaon"/>
    <s v="Courier charges"/>
    <x v="12"/>
    <n v="245"/>
    <m/>
    <n v="245"/>
    <m/>
    <m/>
    <m/>
    <n v="245"/>
    <n v="245"/>
    <n v="0"/>
    <s v="in file"/>
  </r>
  <r>
    <n v="116"/>
    <d v="2026-02-14T00:00:00"/>
    <d v="2026-02-14T00:00:00"/>
    <x v="8"/>
    <m/>
    <s v="Kapil Hulram- Shri Balaji Pokalwar"/>
    <s v="Maharaj Singh"/>
    <s v="Onix"/>
    <s v="Hanegaon"/>
    <s v="Diesel for JCB"/>
    <x v="5"/>
    <n v="0"/>
    <m/>
    <n v="0"/>
    <m/>
    <m/>
    <m/>
    <n v="0"/>
    <n v="4800"/>
    <n v="-4800"/>
    <m/>
  </r>
  <r>
    <n v="117"/>
    <d v="2026-02-14T00:00:00"/>
    <d v="2026-02-14T00:00:00"/>
    <x v="8"/>
    <m/>
    <s v="Kapil Hulram- Shri Balaji Pokalwar"/>
    <s v="Maharaj Singh"/>
    <s v="Onix"/>
    <s v="Hanegaon"/>
    <s v="Petrol for Bike"/>
    <x v="5"/>
    <n v="0"/>
    <m/>
    <n v="0"/>
    <m/>
    <m/>
    <m/>
    <n v="0"/>
    <n v="200"/>
    <n v="-200"/>
    <s v="Bill Not Received"/>
  </r>
  <r>
    <n v="118"/>
    <d v="2026-02-15T00:00:00"/>
    <d v="2026-02-15T00:00:00"/>
    <x v="8"/>
    <m/>
    <s v="Kapil Hulram- Shri Balaji Pokalwar"/>
    <s v="Maharaj Singh"/>
    <s v="Onix"/>
    <s v="Hanegaon"/>
    <s v="Diesel for JCB"/>
    <x v="5"/>
    <n v="0"/>
    <m/>
    <n v="0"/>
    <m/>
    <m/>
    <m/>
    <n v="0"/>
    <n v="4800"/>
    <n v="-4800"/>
    <m/>
  </r>
  <r>
    <n v="119"/>
    <d v="2026-02-15T00:00:00"/>
    <d v="2026-02-15T00:00:00"/>
    <x v="8"/>
    <m/>
    <s v="Kapil Hulram- Shri Balaji Pokalwar"/>
    <s v="Maharaj Singh"/>
    <s v="Onix"/>
    <s v="Hanegaon"/>
    <s v="Petrol for bike"/>
    <x v="5"/>
    <n v="0"/>
    <m/>
    <n v="0"/>
    <m/>
    <m/>
    <m/>
    <n v="0"/>
    <n v="200"/>
    <n v="-200"/>
    <m/>
  </r>
  <r>
    <n v="120"/>
    <d v="2026-02-17T00:00:00"/>
    <d v="2026-02-17T00:00:00"/>
    <x v="8"/>
    <m/>
    <s v="Kapil Hulram- Shri Balaji Pokalwar"/>
    <s v="Maharaj Singh"/>
    <s v="Onix"/>
    <s v="Hanegaon"/>
    <s v="Petrol for bike"/>
    <x v="5"/>
    <n v="0"/>
    <m/>
    <n v="0"/>
    <m/>
    <m/>
    <m/>
    <n v="0"/>
    <n v="200"/>
    <n v="-200"/>
    <m/>
  </r>
  <r>
    <n v="121"/>
    <d v="2026-02-17T00:00:00"/>
    <d v="2026-02-17T00:00:00"/>
    <x v="8"/>
    <m/>
    <s v="Kapil Hulram- Shri Balaji Pokalwar"/>
    <s v="Maharaj Singh"/>
    <s v="Onix"/>
    <s v="Hanegaon"/>
    <s v="Diesel for JCB"/>
    <x v="5"/>
    <n v="0"/>
    <m/>
    <n v="0"/>
    <m/>
    <m/>
    <m/>
    <n v="0"/>
    <n v="4800"/>
    <n v="-4800"/>
    <m/>
  </r>
  <r>
    <n v="122"/>
    <d v="2026-02-21T00:00:00"/>
    <d v="2026-03-13T00:00:00"/>
    <x v="8"/>
    <m/>
    <s v="Kapil Hulram"/>
    <s v="DP Cons."/>
    <s v="Onix"/>
    <s v="Hanegaon"/>
    <s v="JCB Rent"/>
    <x v="5"/>
    <n v="76000"/>
    <m/>
    <n v="76000"/>
    <m/>
    <m/>
    <m/>
    <n v="76000"/>
    <n v="21000"/>
    <n v="55000"/>
    <m/>
  </r>
  <r>
    <n v="123"/>
    <d v="2025-12-31T00:00:00"/>
    <d v="2026-01-13T00:00:00"/>
    <x v="6"/>
    <m/>
    <s v="Staff salary"/>
    <s v="VIPL_5779"/>
    <s v="Onix"/>
    <s v="Hanegaon"/>
    <s v="Sttaf Salary Dec 2025"/>
    <x v="8"/>
    <n v="120000"/>
    <m/>
    <n v="120000"/>
    <m/>
    <n v="6886"/>
    <n v="548"/>
    <n v="112566"/>
    <n v="112566"/>
    <n v="0"/>
    <m/>
  </r>
  <r>
    <n v="124"/>
    <d v="2026-01-31T00:00:00"/>
    <d v="2026-02-13T00:00:00"/>
    <x v="7"/>
    <m/>
    <s v="Staff salary"/>
    <s v="VIPL_5779"/>
    <s v="Onix"/>
    <s v="Hanegaon"/>
    <s v="Sttaf Salary Jan 2026"/>
    <x v="8"/>
    <n v="175500"/>
    <m/>
    <n v="175500"/>
    <m/>
    <n v="13272.48"/>
    <n v="548"/>
    <n v="161679.51999999999"/>
    <n v="161679.51999999999"/>
    <n v="0"/>
    <m/>
  </r>
  <r>
    <n v="125"/>
    <d v="2026-02-26T00:00:00"/>
    <d v="2026-03-11T00:00:00"/>
    <x v="8"/>
    <m/>
    <s v="Staff Salary"/>
    <s v="VIPL_5779"/>
    <s v="Onix"/>
    <s v="Hanegaon"/>
    <s v="Sttaf Salary Feb 2026"/>
    <x v="8"/>
    <n v="125500"/>
    <m/>
    <n v="125500"/>
    <m/>
    <n v="11472.48"/>
    <n v="548"/>
    <n v="113479.52"/>
    <n v="113479.52"/>
    <n v="0"/>
    <m/>
  </r>
  <r>
    <n v="126"/>
    <d v="2025-11-08T00:00:00"/>
    <d v="2025-11-08T00:00:00"/>
    <x v="5"/>
    <m/>
    <s v="Vgeotech Experts Private Limited"/>
    <s v="VIPL_5779"/>
    <s v="Onix"/>
    <s v="Hanegaon"/>
    <s v="Advance Payment Vgeotech"/>
    <x v="9"/>
    <n v="0"/>
    <m/>
    <n v="0"/>
    <m/>
    <m/>
    <m/>
    <n v="0"/>
    <n v="31565"/>
    <n v="-31565"/>
    <m/>
  </r>
  <r>
    <n v="127"/>
    <d v="2025-01-11T00:00:00"/>
    <d v="2025-01-11T00:00:00"/>
    <x v="9"/>
    <m/>
    <s v="Vgeotech Experts Private Limited"/>
    <s v="VIPL_5779"/>
    <s v="Onix"/>
    <s v="Hanegaon"/>
    <s v="Soil testing payment at Hanegaon Site"/>
    <x v="9"/>
    <m/>
    <m/>
    <n v="0"/>
    <m/>
    <m/>
    <m/>
    <n v="0"/>
    <n v="247170"/>
    <n v="-247170"/>
    <m/>
  </r>
  <r>
    <n v="128"/>
    <d v="2026-02-19T00:00:00"/>
    <d v="2025-02-19T00:00:00"/>
    <x v="8"/>
    <m/>
    <s v="Kapil Hulram- Shri Balaji Pokalwar"/>
    <s v="Maharaj Singh"/>
    <s v="Onix"/>
    <s v="Hanegaon"/>
    <s v="Diesel for JCB"/>
    <x v="5"/>
    <n v="0"/>
    <m/>
    <n v="0"/>
    <m/>
    <m/>
    <m/>
    <n v="0"/>
    <n v="4800"/>
    <n v="-4800"/>
    <m/>
  </r>
  <r>
    <n v="129"/>
    <d v="2026-02-19T00:00:00"/>
    <d v="2025-02-19T00:00:00"/>
    <x v="8"/>
    <m/>
    <s v="Kapil Hulram- Shri Balaji Pokalwar"/>
    <s v="Maharaj Singh"/>
    <s v="Onix"/>
    <s v="Hanegaon"/>
    <s v="Petrol for bike"/>
    <x v="5"/>
    <n v="0"/>
    <m/>
    <n v="0"/>
    <m/>
    <m/>
    <m/>
    <n v="0"/>
    <n v="200"/>
    <n v="-200"/>
    <m/>
  </r>
  <r>
    <n v="130"/>
    <d v="2026-02-20T00:00:00"/>
    <d v="2025-02-20T00:00:00"/>
    <x v="8"/>
    <m/>
    <s v="Kapil Hulram- Shri Balaji Pokalwar"/>
    <s v="Maharaj Singh"/>
    <s v="Onix"/>
    <s v="Hanegaon"/>
    <s v="Diesel for JCB"/>
    <x v="5"/>
    <n v="0"/>
    <m/>
    <n v="0"/>
    <m/>
    <m/>
    <m/>
    <n v="0"/>
    <n v="4800"/>
    <n v="-4800"/>
    <m/>
  </r>
  <r>
    <n v="131"/>
    <d v="2026-02-22T00:00:00"/>
    <d v="2026-02-22T00:00:00"/>
    <x v="8"/>
    <m/>
    <s v="Kapil Hulram- Sun Petroleum"/>
    <s v="Maharaj Singh"/>
    <s v="Onix"/>
    <s v="Hanegaon"/>
    <s v="Petrol for bike"/>
    <x v="5"/>
    <n v="0"/>
    <m/>
    <n v="0"/>
    <m/>
    <m/>
    <m/>
    <n v="0"/>
    <n v="200"/>
    <n v="-200"/>
    <m/>
  </r>
  <r>
    <n v="132"/>
    <d v="2026-02-22T00:00:00"/>
    <d v="2026-02-26T00:00:00"/>
    <x v="8"/>
    <m/>
    <s v="Kapil Hulram"/>
    <s v="Rahul Rai"/>
    <s v="Onix"/>
    <s v="Hanegaon"/>
    <s v="JCB Rent"/>
    <x v="5"/>
    <m/>
    <m/>
    <n v="0"/>
    <m/>
    <m/>
    <m/>
    <n v="0"/>
    <n v="30000"/>
    <n v="-30000"/>
    <m/>
  </r>
  <r>
    <n v="133"/>
    <d v="2026-02-28T00:00:00"/>
    <d v="2026-03-03T00:00:00"/>
    <x v="8"/>
    <m/>
    <s v="Amar Umakant"/>
    <s v="Vatsinfra_ICICI"/>
    <s v="Onix"/>
    <s v="Hanegaon"/>
    <s v="Room rent for Feb"/>
    <x v="2"/>
    <n v="6000"/>
    <m/>
    <n v="6000"/>
    <m/>
    <m/>
    <m/>
    <n v="6000"/>
    <n v="6000"/>
    <n v="0"/>
    <m/>
  </r>
  <r>
    <n v="134"/>
    <d v="2026-02-11T00:00:00"/>
    <d v="2026-02-11T00:00:00"/>
    <x v="8"/>
    <m/>
    <s v="Musa"/>
    <s v="Shivam Singh"/>
    <s v="Onix"/>
    <s v="Hanegaon"/>
    <s v="Bike Tube replace "/>
    <x v="1"/>
    <n v="350"/>
    <m/>
    <n v="350"/>
    <m/>
    <m/>
    <m/>
    <n v="350"/>
    <n v="350"/>
    <n v="0"/>
    <m/>
  </r>
  <r>
    <n v="135"/>
    <d v="2026-02-11T00:00:00"/>
    <d v="2026-02-11T00:00:00"/>
    <x v="8"/>
    <m/>
    <s v="Vittahal Arjun Rao"/>
    <s v="Shivam Singh"/>
    <s v="Onix"/>
    <s v="Hanegaon "/>
    <s v="Udgir to Kolhapur Travel"/>
    <x v="4"/>
    <n v="400"/>
    <m/>
    <n v="400"/>
    <m/>
    <m/>
    <m/>
    <n v="400"/>
    <n v="400"/>
    <n v="0"/>
    <m/>
  </r>
  <r>
    <n v="136"/>
    <d v="2026-02-11T00:00:00"/>
    <d v="2026-02-11T00:00:00"/>
    <x v="8"/>
    <m/>
    <s v="MSRTC"/>
    <s v="Shivam Singh"/>
    <s v="Onix"/>
    <s v="Hanegaon "/>
    <s v="Kolhapur to Kundal Travel"/>
    <x v="4"/>
    <n v="262"/>
    <m/>
    <n v="262"/>
    <m/>
    <m/>
    <m/>
    <n v="262"/>
    <n v="262"/>
    <n v="0"/>
    <m/>
  </r>
  <r>
    <n v="137"/>
    <d v="2026-02-11T00:00:00"/>
    <d v="2026-02-11T00:00:00"/>
    <x v="8"/>
    <m/>
    <s v="MSRTC"/>
    <s v="Shivam Singh"/>
    <s v="Onix "/>
    <s v="Hanegaon"/>
    <s v="Kundal to Malvan Travel"/>
    <x v="4"/>
    <n v="51"/>
    <m/>
    <n v="51"/>
    <m/>
    <m/>
    <m/>
    <n v="51"/>
    <n v="51"/>
    <n v="0"/>
    <m/>
  </r>
  <r>
    <n v="138"/>
    <d v="2026-02-11T00:00:00"/>
    <d v="2026-02-11T00:00:00"/>
    <x v="8"/>
    <m/>
    <s v="Hotel Anmol"/>
    <s v="Shivam Singh"/>
    <s v="Onix"/>
    <s v="Hanegaon"/>
    <s v="Malvan to Mitbhav To Malvan auto rent"/>
    <x v="14"/>
    <n v="1200"/>
    <m/>
    <n v="1200"/>
    <m/>
    <m/>
    <m/>
    <n v="1200"/>
    <n v="1200"/>
    <n v="0"/>
    <m/>
  </r>
  <r>
    <n v="139"/>
    <d v="2026-02-11T00:00:00"/>
    <d v="2026-02-11T00:00:00"/>
    <x v="8"/>
    <m/>
    <s v="MSRTC"/>
    <s v="Shivam Singh"/>
    <s v="Onix"/>
    <s v="Hanegaon"/>
    <s v="Malvan to Kundal Travel"/>
    <x v="4"/>
    <n v="51"/>
    <m/>
    <n v="51"/>
    <m/>
    <m/>
    <m/>
    <n v="51"/>
    <n v="51"/>
    <n v="0"/>
    <m/>
  </r>
  <r>
    <n v="140"/>
    <d v="2026-02-12T00:00:00"/>
    <d v="2026-02-12T00:00:00"/>
    <x v="8"/>
    <m/>
    <s v="MSRTC"/>
    <s v="Shivam Singh"/>
    <s v="Onix"/>
    <s v="Hanegaon"/>
    <s v="Kundal To Kolhapur Travel"/>
    <x v="4"/>
    <n v="370"/>
    <m/>
    <n v="370"/>
    <m/>
    <m/>
    <m/>
    <n v="370"/>
    <n v="370"/>
    <n v="0"/>
    <m/>
  </r>
  <r>
    <n v="141"/>
    <d v="2026-02-12T00:00:00"/>
    <d v="2026-02-12T00:00:00"/>
    <x v="8"/>
    <m/>
    <s v="MSRTC"/>
    <s v="Shivam Singh"/>
    <s v="Onix"/>
    <s v="Hanegaon"/>
    <s v="Kolhapur to Gulbarga Travel "/>
    <x v="4"/>
    <n v="343"/>
    <m/>
    <n v="343"/>
    <m/>
    <m/>
    <m/>
    <n v="343"/>
    <n v="343"/>
    <n v="0"/>
    <m/>
  </r>
  <r>
    <n v="142"/>
    <d v="2026-02-12T00:00:00"/>
    <d v="2026-02-12T00:00:00"/>
    <x v="8"/>
    <m/>
    <s v="MSRTC"/>
    <s v="Shivam Singh"/>
    <s v="Onix"/>
    <s v="Hanegaon"/>
    <s v="Gulbarga to Aurad sharing cab "/>
    <x v="4"/>
    <n v="300"/>
    <m/>
    <n v="300"/>
    <m/>
    <m/>
    <m/>
    <n v="300"/>
    <n v="300"/>
    <n v="0"/>
    <m/>
  </r>
  <r>
    <n v="143"/>
    <d v="2026-02-15T00:00:00"/>
    <d v="2026-02-15T00:00:00"/>
    <x v="8"/>
    <m/>
    <s v="Sun Petroleum"/>
    <s v="Shivam Singh"/>
    <s v="Onix"/>
    <s v="Hanegaon"/>
    <s v="Bike Petrol"/>
    <x v="0"/>
    <n v="520"/>
    <m/>
    <n v="520"/>
    <m/>
    <m/>
    <m/>
    <n v="520"/>
    <n v="520"/>
    <n v="0"/>
    <m/>
  </r>
  <r>
    <n v="144"/>
    <d v="2026-02-03T00:00:00"/>
    <d v="2026-02-20T00:00:00"/>
    <x v="8"/>
    <m/>
    <s v="Gulbrga Electricity"/>
    <s v="Shivam Singh"/>
    <s v="Onix"/>
    <s v="Hanegaon"/>
    <s v="Electricity Charge Geust House Feb to March month"/>
    <x v="6"/>
    <n v="504"/>
    <m/>
    <n v="504"/>
    <m/>
    <m/>
    <m/>
    <n v="504"/>
    <n v="504"/>
    <n v="0"/>
    <m/>
  </r>
  <r>
    <n v="145"/>
    <d v="2026-02-26T00:00:00"/>
    <d v="2026-02-26T00:00:00"/>
    <x v="8"/>
    <m/>
    <s v="Sun Petroleum"/>
    <s v="Shivam Singh"/>
    <s v="Onix"/>
    <s v="Hanegaon"/>
    <s v="Bike Petrol"/>
    <x v="0"/>
    <n v="520"/>
    <m/>
    <n v="520"/>
    <m/>
    <m/>
    <m/>
    <n v="520"/>
    <n v="520"/>
    <n v="0"/>
    <m/>
  </r>
  <r>
    <n v="146"/>
    <d v="2026-02-03T00:00:00"/>
    <d v="2026-03-16T00:00:00"/>
    <x v="8"/>
    <m/>
    <s v="Gulbrga Electricity"/>
    <s v="Shivam Singh"/>
    <s v="Onix"/>
    <s v="Hanegaon"/>
    <s v="Electricity Charge Geust House "/>
    <x v="6"/>
    <n v="434"/>
    <m/>
    <n v="434"/>
    <m/>
    <m/>
    <m/>
    <n v="434"/>
    <n v="434"/>
    <n v="0"/>
    <m/>
  </r>
  <r>
    <n v="147"/>
    <d v="2026-02-24T00:00:00"/>
    <d v="2026-03-25T00:00:00"/>
    <x v="8"/>
    <m/>
    <s v="Maharaj Singh "/>
    <s v="Maharaj Singh"/>
    <s v="Onix"/>
    <s v="Hanegaon"/>
    <s v="Material Packing And Sifting Charge"/>
    <x v="14"/>
    <n v="900"/>
    <m/>
    <n v="900"/>
    <m/>
    <m/>
    <m/>
    <n v="900"/>
    <n v="900"/>
    <n v="0"/>
    <m/>
  </r>
  <r>
    <n v="148"/>
    <d v="2026-02-24T00:00:00"/>
    <d v="2026-03-29T00:00:00"/>
    <x v="8"/>
    <m/>
    <s v="Maharaj Singh"/>
    <s v="Shivam Singh"/>
    <s v="Onix"/>
    <s v="Hanegaon"/>
    <s v="Travel Expense "/>
    <x v="4"/>
    <n v="1000"/>
    <m/>
    <n v="1000"/>
    <m/>
    <m/>
    <m/>
    <n v="1000"/>
    <n v="1000"/>
    <n v="0"/>
    <m/>
  </r>
  <r>
    <n v="149"/>
    <d v="2026-02-24T00:00:00"/>
    <d v="2026-03-29T00:00:00"/>
    <x v="8"/>
    <m/>
    <s v="Maharaj Singh"/>
    <s v="Shivam Singh"/>
    <s v="Onix"/>
    <s v="Hanegaon"/>
    <s v="Bike Petrol"/>
    <x v="0"/>
    <n v="500"/>
    <m/>
    <n v="500"/>
    <m/>
    <m/>
    <m/>
    <n v="500"/>
    <n v="500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compact="0" compactData="0" multipleFieldFilters="0">
  <location ref="A3:D60" firstHeaderRow="0" firstDataRow="1" firstDataCol="2"/>
  <pivotFields count="21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0">
        <item m="1" x="17"/>
        <item m="1" x="19"/>
        <item m="1" x="18"/>
        <item m="1" x="10"/>
        <item m="1" x="16"/>
        <item m="1" x="14"/>
        <item m="1" x="15"/>
        <item m="1" x="11"/>
        <item m="1" x="12"/>
        <item x="0"/>
        <item x="1"/>
        <item x="2"/>
        <item x="3"/>
        <item x="4"/>
        <item x="5"/>
        <item x="6"/>
        <item x="7"/>
        <item x="8"/>
        <item m="1" x="13"/>
        <item x="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0"/>
        <item x="9"/>
        <item x="11"/>
        <item x="5"/>
        <item x="12"/>
        <item x="7"/>
        <item x="2"/>
        <item x="10"/>
        <item x="1"/>
        <item x="8"/>
        <item x="3"/>
        <item x="4"/>
        <item x="13"/>
        <item x="6"/>
        <item x="1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10"/>
    <field x="3"/>
  </rowFields>
  <rowItems count="57">
    <i>
      <x/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"/>
      <x v="11"/>
    </i>
    <i r="1">
      <x v="12"/>
    </i>
    <i r="1">
      <x v="13"/>
    </i>
    <i r="1">
      <x v="14"/>
    </i>
    <i r="1">
      <x v="19"/>
    </i>
    <i>
      <x v="2"/>
      <x v="12"/>
    </i>
    <i r="1">
      <x v="15"/>
    </i>
    <i r="1">
      <x v="16"/>
    </i>
    <i>
      <x v="3"/>
      <x v="11"/>
    </i>
    <i r="1">
      <x v="12"/>
    </i>
    <i r="1">
      <x v="14"/>
    </i>
    <i r="1">
      <x v="17"/>
    </i>
    <i>
      <x v="4"/>
      <x v="13"/>
    </i>
    <i r="1">
      <x v="17"/>
    </i>
    <i>
      <x v="5"/>
      <x v="11"/>
    </i>
    <i r="1">
      <x v="13"/>
    </i>
    <i>
      <x v="6"/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7"/>
      <x v="12"/>
    </i>
    <i>
      <x v="8"/>
      <x v="9"/>
    </i>
    <i r="1">
      <x v="15"/>
    </i>
    <i r="1">
      <x v="17"/>
    </i>
    <i>
      <x v="9"/>
      <x v="9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>
      <x v="10"/>
      <x v="9"/>
    </i>
    <i r="1">
      <x v="11"/>
    </i>
    <i>
      <x v="11"/>
      <x v="10"/>
    </i>
    <i r="1">
      <x v="17"/>
    </i>
    <i>
      <x v="12"/>
      <x v="14"/>
    </i>
    <i>
      <x v="13"/>
      <x v="11"/>
    </i>
    <i r="1">
      <x v="12"/>
    </i>
    <i r="1">
      <x v="13"/>
    </i>
    <i r="1">
      <x v="14"/>
    </i>
    <i r="1">
      <x v="16"/>
    </i>
    <i r="1">
      <x v="17"/>
    </i>
    <i>
      <x v="14"/>
      <x v="1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sic Amount" fld="11" baseField="10" baseItem="0"/>
    <dataField name="Sum of Amount paid" fld="18" baseField="10" baseItem="0"/>
  </dataFields>
  <formats count="10">
    <format dxfId="21">
      <pivotArea type="all" dataOnly="0" outline="0" fieldPosition="0"/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10" count="0"/>
        </references>
      </pivotArea>
    </format>
    <format dxfId="18">
      <pivotArea dataOnly="0" labelOnly="1" grandRow="1" outline="0" fieldPosition="0"/>
    </format>
    <format dxfId="17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">
      <pivotArea type="all" dataOnly="0" outline="0" fieldPosition="0"/>
    </format>
    <format dxfId="15">
      <pivotArea outline="0" collapsedLevelsAreSubtotals="1" fieldPosition="0"/>
    </format>
    <format dxfId="14">
      <pivotArea dataOnly="0" labelOnly="1" outline="0" fieldPosition="0">
        <references count="1">
          <reference field="10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M3:N8" firstHeaderRow="1" firstDataRow="1" firstDataCol="1"/>
  <pivotFields count="2">
    <pivotField axis="axisRow" showAll="0">
      <items count="5">
        <item x="1"/>
        <item x="3"/>
        <item x="2"/>
        <item x="0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Without Taxs Basic Amount" fld="1" baseField="0" baseItem="0"/>
  </dataFields>
  <formats count="12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0" type="button" dataOnly="0" labelOnly="1" outline="0" axis="axisRow" fieldPosition="0"/>
    </format>
    <format dxfId="8">
      <pivotArea dataOnly="0" labelOnly="1" outline="0" axis="axisValues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0" type="button" dataOnly="0" labelOnly="1" outline="0" axis="axisRow" fieldPosition="0"/>
    </format>
    <format dxfId="2">
      <pivotArea dataOnly="0" labelOnly="1" outline="0" axis="axisValues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>
      <selection activeCell="H7" sqref="H7"/>
    </sheetView>
  </sheetViews>
  <sheetFormatPr defaultRowHeight="14.4" x14ac:dyDescent="0.3"/>
  <cols>
    <col min="1" max="1" width="13.44140625" bestFit="1" customWidth="1"/>
    <col min="2" max="2" width="17" bestFit="1" customWidth="1"/>
    <col min="3" max="3" width="13.44140625" bestFit="1" customWidth="1"/>
    <col min="4" max="4" width="9.77734375" bestFit="1" customWidth="1"/>
  </cols>
  <sheetData>
    <row r="1" spans="1:4" x14ac:dyDescent="0.3">
      <c r="A1" s="8" t="s">
        <v>18</v>
      </c>
      <c r="B1" s="8" t="s">
        <v>19</v>
      </c>
      <c r="C1" s="8" t="s">
        <v>20</v>
      </c>
      <c r="D1" s="8" t="s">
        <v>21</v>
      </c>
    </row>
    <row r="2" spans="1:4" x14ac:dyDescent="0.3">
      <c r="A2" s="5">
        <v>55000000</v>
      </c>
      <c r="B2" s="6">
        <v>1</v>
      </c>
      <c r="C2" s="6">
        <v>0.65</v>
      </c>
      <c r="D2" s="7">
        <v>45839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Views>
    <sheetView tabSelected="1" topLeftCell="E1" workbookViewId="0">
      <selection activeCell="A5" sqref="A5:M5"/>
    </sheetView>
  </sheetViews>
  <sheetFormatPr defaultRowHeight="14.4" x14ac:dyDescent="0.3"/>
  <cols>
    <col min="1" max="1" width="16.21875" bestFit="1" customWidth="1"/>
    <col min="2" max="2" width="9.21875" bestFit="1" customWidth="1"/>
    <col min="3" max="3" width="12.33203125" bestFit="1" customWidth="1"/>
    <col min="4" max="4" width="10.77734375" bestFit="1" customWidth="1"/>
    <col min="5" max="5" width="24.44140625" bestFit="1" customWidth="1"/>
    <col min="6" max="6" width="16.44140625" bestFit="1" customWidth="1"/>
    <col min="7" max="7" width="6" bestFit="1" customWidth="1"/>
    <col min="8" max="8" width="18.77734375" bestFit="1" customWidth="1"/>
    <col min="9" max="9" width="10.5546875" bestFit="1" customWidth="1"/>
    <col min="10" max="10" width="14.21875" bestFit="1" customWidth="1"/>
    <col min="11" max="11" width="12.44140625" bestFit="1" customWidth="1"/>
    <col min="12" max="12" width="16" bestFit="1" customWidth="1"/>
    <col min="13" max="13" width="7.44140625" bestFit="1" customWidth="1"/>
  </cols>
  <sheetData>
    <row r="1" spans="1:13" x14ac:dyDescent="0.3">
      <c r="A1" s="3" t="s">
        <v>22</v>
      </c>
      <c r="B1" s="3" t="s">
        <v>23</v>
      </c>
      <c r="C1" s="3" t="s">
        <v>24</v>
      </c>
      <c r="D1" s="3" t="s">
        <v>25</v>
      </c>
      <c r="E1" s="3" t="s">
        <v>26</v>
      </c>
      <c r="F1" s="3" t="s">
        <v>27</v>
      </c>
      <c r="G1" s="3" t="s">
        <v>28</v>
      </c>
      <c r="H1" s="3" t="s">
        <v>29</v>
      </c>
      <c r="I1" s="3" t="s">
        <v>30</v>
      </c>
      <c r="J1" s="3" t="s">
        <v>31</v>
      </c>
      <c r="K1" s="3" t="s">
        <v>32</v>
      </c>
      <c r="L1" s="3" t="s">
        <v>33</v>
      </c>
      <c r="M1" s="3" t="s">
        <v>34</v>
      </c>
    </row>
    <row r="2" spans="1:13" x14ac:dyDescent="0.3">
      <c r="A2" s="1" t="s">
        <v>35</v>
      </c>
      <c r="B2" s="4">
        <v>46049</v>
      </c>
      <c r="C2" s="1">
        <v>768000</v>
      </c>
      <c r="D2" s="1">
        <v>138240</v>
      </c>
      <c r="E2" s="1">
        <v>906240</v>
      </c>
      <c r="F2" s="1">
        <v>38400</v>
      </c>
      <c r="G2" s="1">
        <v>0</v>
      </c>
      <c r="H2" s="1">
        <v>867840</v>
      </c>
      <c r="I2" s="1">
        <v>0</v>
      </c>
      <c r="J2" s="1">
        <v>0</v>
      </c>
      <c r="K2" s="4">
        <v>46071</v>
      </c>
      <c r="L2" s="1">
        <v>728832</v>
      </c>
      <c r="M2" s="1">
        <f>C2-L2</f>
        <v>39168</v>
      </c>
    </row>
    <row r="3" spans="1:13" x14ac:dyDescent="0.3">
      <c r="A3" s="1" t="s">
        <v>36</v>
      </c>
      <c r="B3" s="4">
        <v>46059</v>
      </c>
      <c r="C3" s="1">
        <v>768000</v>
      </c>
      <c r="D3" s="1">
        <v>138240</v>
      </c>
      <c r="E3" s="1">
        <v>906240</v>
      </c>
      <c r="F3" s="1">
        <v>38400</v>
      </c>
      <c r="G3" s="1">
        <v>15360</v>
      </c>
      <c r="H3" s="1">
        <v>852480</v>
      </c>
      <c r="I3" s="1">
        <v>0</v>
      </c>
      <c r="J3" s="1">
        <v>0</v>
      </c>
      <c r="K3" s="4">
        <v>46071</v>
      </c>
      <c r="L3" s="1">
        <v>728832</v>
      </c>
      <c r="M3" s="1">
        <f t="shared" ref="M3:M4" si="0">C3-L3</f>
        <v>39168</v>
      </c>
    </row>
    <row r="4" spans="1:13" x14ac:dyDescent="0.3">
      <c r="A4" s="1" t="s">
        <v>37</v>
      </c>
      <c r="B4" s="4">
        <v>46059</v>
      </c>
      <c r="C4" s="1">
        <v>165000</v>
      </c>
      <c r="D4" s="1">
        <v>29700</v>
      </c>
      <c r="E4" s="1">
        <v>194700</v>
      </c>
      <c r="F4" s="1">
        <v>8250</v>
      </c>
      <c r="G4" s="1">
        <v>3300</v>
      </c>
      <c r="H4" s="1">
        <v>183150</v>
      </c>
      <c r="I4" s="1">
        <v>0</v>
      </c>
      <c r="J4" s="1">
        <v>0</v>
      </c>
      <c r="K4" s="1"/>
      <c r="L4" s="1">
        <v>0</v>
      </c>
      <c r="M4" s="1">
        <f t="shared" si="0"/>
        <v>165000</v>
      </c>
    </row>
    <row r="5" spans="1:13" x14ac:dyDescent="0.3">
      <c r="A5" s="1" t="s">
        <v>37</v>
      </c>
      <c r="B5" s="4">
        <v>46059</v>
      </c>
      <c r="C5" s="1">
        <v>165000</v>
      </c>
      <c r="D5" s="1">
        <v>29700</v>
      </c>
      <c r="E5" s="1">
        <v>194700</v>
      </c>
      <c r="F5" s="1">
        <v>8250</v>
      </c>
      <c r="G5" s="1">
        <v>3300</v>
      </c>
      <c r="H5" s="1">
        <v>183150</v>
      </c>
      <c r="I5" s="1">
        <v>0</v>
      </c>
      <c r="J5" s="1">
        <v>0</v>
      </c>
      <c r="K5" s="1"/>
      <c r="L5" s="1">
        <v>0</v>
      </c>
      <c r="M5" s="1">
        <f t="shared" ref="M5" si="1">C5-L5</f>
        <v>165000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workbookViewId="0">
      <selection activeCell="C59" sqref="C59"/>
    </sheetView>
  </sheetViews>
  <sheetFormatPr defaultRowHeight="14.4" x14ac:dyDescent="0.3"/>
  <cols>
    <col min="1" max="1" width="23.33203125" bestFit="1" customWidth="1"/>
    <col min="2" max="2" width="12.109375" bestFit="1" customWidth="1"/>
    <col min="3" max="3" width="18" bestFit="1" customWidth="1"/>
    <col min="4" max="4" width="17.88671875" bestFit="1" customWidth="1"/>
  </cols>
  <sheetData>
    <row r="1" spans="1:4" x14ac:dyDescent="0.3">
      <c r="A1" s="2" t="s">
        <v>0</v>
      </c>
      <c r="B1" s="2" t="s">
        <v>1</v>
      </c>
      <c r="C1" s="2" t="s">
        <v>16</v>
      </c>
      <c r="D1" s="2" t="s">
        <v>17</v>
      </c>
    </row>
    <row r="2" spans="1:4" x14ac:dyDescent="0.3">
      <c r="A2" s="78" t="s">
        <v>2</v>
      </c>
      <c r="B2" s="1" t="s">
        <v>215</v>
      </c>
      <c r="C2" s="77">
        <v>6400</v>
      </c>
      <c r="D2" s="77">
        <v>6400</v>
      </c>
    </row>
    <row r="3" spans="1:4" x14ac:dyDescent="0.3">
      <c r="A3" s="78" t="s">
        <v>2</v>
      </c>
      <c r="B3" s="1" t="s">
        <v>216</v>
      </c>
      <c r="C3" s="77">
        <v>41100</v>
      </c>
      <c r="D3" s="77">
        <v>41100</v>
      </c>
    </row>
    <row r="4" spans="1:4" x14ac:dyDescent="0.3">
      <c r="A4" s="78" t="s">
        <v>2</v>
      </c>
      <c r="B4" s="1" t="s">
        <v>217</v>
      </c>
      <c r="C4" s="77">
        <v>14411</v>
      </c>
      <c r="D4" s="77">
        <v>14411</v>
      </c>
    </row>
    <row r="5" spans="1:4" x14ac:dyDescent="0.3">
      <c r="A5" s="78" t="s">
        <v>2</v>
      </c>
      <c r="B5" s="1" t="s">
        <v>218</v>
      </c>
      <c r="C5" s="77">
        <v>41849.49</v>
      </c>
      <c r="D5" s="77">
        <v>41850</v>
      </c>
    </row>
    <row r="6" spans="1:4" x14ac:dyDescent="0.3">
      <c r="A6" s="78" t="s">
        <v>2</v>
      </c>
      <c r="B6" s="1" t="s">
        <v>219</v>
      </c>
      <c r="C6" s="77">
        <v>12170</v>
      </c>
      <c r="D6" s="77">
        <v>12170</v>
      </c>
    </row>
    <row r="7" spans="1:4" x14ac:dyDescent="0.3">
      <c r="A7" s="78" t="s">
        <v>2</v>
      </c>
      <c r="B7" s="1" t="s">
        <v>220</v>
      </c>
      <c r="C7" s="77">
        <v>400</v>
      </c>
      <c r="D7" s="77">
        <v>400</v>
      </c>
    </row>
    <row r="8" spans="1:4" x14ac:dyDescent="0.3">
      <c r="A8" s="78" t="s">
        <v>2</v>
      </c>
      <c r="B8" s="1" t="s">
        <v>221</v>
      </c>
      <c r="C8" s="77">
        <v>630</v>
      </c>
      <c r="D8" s="77">
        <v>630</v>
      </c>
    </row>
    <row r="9" spans="1:4" x14ac:dyDescent="0.3">
      <c r="A9" s="78" t="s">
        <v>2</v>
      </c>
      <c r="B9" s="1" t="s">
        <v>222</v>
      </c>
      <c r="C9" s="77">
        <v>1540</v>
      </c>
      <c r="D9" s="77">
        <v>1540</v>
      </c>
    </row>
    <row r="10" spans="1:4" x14ac:dyDescent="0.3">
      <c r="A10" s="78" t="s">
        <v>3</v>
      </c>
      <c r="B10" s="1" t="s">
        <v>216</v>
      </c>
      <c r="C10" s="77">
        <v>267500</v>
      </c>
      <c r="D10" s="77">
        <v>31565</v>
      </c>
    </row>
    <row r="11" spans="1:4" x14ac:dyDescent="0.3">
      <c r="A11" s="78" t="s">
        <v>3</v>
      </c>
      <c r="B11" s="1" t="s">
        <v>217</v>
      </c>
      <c r="C11" s="77">
        <v>30000</v>
      </c>
      <c r="D11" s="77">
        <v>35400</v>
      </c>
    </row>
    <row r="12" spans="1:4" x14ac:dyDescent="0.3">
      <c r="A12" s="78" t="s">
        <v>3</v>
      </c>
      <c r="B12" s="1" t="s">
        <v>218</v>
      </c>
      <c r="C12" s="77">
        <v>175000</v>
      </c>
      <c r="D12" s="77">
        <v>175000</v>
      </c>
    </row>
    <row r="13" spans="1:4" x14ac:dyDescent="0.3">
      <c r="A13" s="78" t="s">
        <v>3</v>
      </c>
      <c r="B13" s="1" t="s">
        <v>219</v>
      </c>
      <c r="C13" s="77">
        <v>175000</v>
      </c>
      <c r="D13" s="77">
        <v>189065</v>
      </c>
    </row>
    <row r="14" spans="1:4" x14ac:dyDescent="0.3">
      <c r="A14" s="78" t="s">
        <v>3</v>
      </c>
      <c r="B14" s="1" t="s">
        <v>224</v>
      </c>
      <c r="C14" s="77">
        <v>0</v>
      </c>
      <c r="D14" s="77">
        <v>247170</v>
      </c>
    </row>
    <row r="15" spans="1:4" x14ac:dyDescent="0.3">
      <c r="A15" s="78" t="s">
        <v>4</v>
      </c>
      <c r="B15" s="1" t="s">
        <v>217</v>
      </c>
      <c r="C15" s="77">
        <v>69000</v>
      </c>
      <c r="D15" s="77">
        <v>80730</v>
      </c>
    </row>
    <row r="16" spans="1:4" x14ac:dyDescent="0.3">
      <c r="A16" s="78" t="s">
        <v>4</v>
      </c>
      <c r="B16" s="1" t="s">
        <v>220</v>
      </c>
      <c r="C16" s="77">
        <v>82800</v>
      </c>
      <c r="D16" s="77">
        <v>96876</v>
      </c>
    </row>
    <row r="17" spans="1:4" x14ac:dyDescent="0.3">
      <c r="A17" s="78" t="s">
        <v>4</v>
      </c>
      <c r="B17" s="1" t="s">
        <v>221</v>
      </c>
      <c r="C17" s="77">
        <v>690000</v>
      </c>
      <c r="D17" s="77">
        <v>0</v>
      </c>
    </row>
    <row r="18" spans="1:4" x14ac:dyDescent="0.3">
      <c r="A18" s="78" t="s">
        <v>5</v>
      </c>
      <c r="B18" s="1" t="s">
        <v>216</v>
      </c>
      <c r="C18" s="77">
        <v>61693</v>
      </c>
      <c r="D18" s="77">
        <v>55550</v>
      </c>
    </row>
    <row r="19" spans="1:4" x14ac:dyDescent="0.3">
      <c r="A19" s="78" t="s">
        <v>5</v>
      </c>
      <c r="B19" s="1" t="s">
        <v>217</v>
      </c>
      <c r="C19" s="77">
        <v>17000</v>
      </c>
      <c r="D19" s="77">
        <v>22041</v>
      </c>
    </row>
    <row r="20" spans="1:4" x14ac:dyDescent="0.3">
      <c r="A20" s="78" t="s">
        <v>5</v>
      </c>
      <c r="B20" s="1" t="s">
        <v>219</v>
      </c>
      <c r="C20" s="77">
        <v>44428.81</v>
      </c>
      <c r="D20" s="77">
        <v>44428.81</v>
      </c>
    </row>
    <row r="21" spans="1:4" x14ac:dyDescent="0.3">
      <c r="A21" s="78" t="s">
        <v>5</v>
      </c>
      <c r="B21" s="1" t="s">
        <v>222</v>
      </c>
      <c r="C21" s="77">
        <v>76000</v>
      </c>
      <c r="D21" s="77">
        <v>76000</v>
      </c>
    </row>
    <row r="22" spans="1:4" x14ac:dyDescent="0.3">
      <c r="A22" s="78" t="s">
        <v>6</v>
      </c>
      <c r="B22" s="1" t="s">
        <v>218</v>
      </c>
      <c r="C22" s="77">
        <v>1400</v>
      </c>
      <c r="D22" s="77">
        <v>1400</v>
      </c>
    </row>
    <row r="23" spans="1:4" x14ac:dyDescent="0.3">
      <c r="A23" s="78" t="s">
        <v>6</v>
      </c>
      <c r="B23" s="1" t="s">
        <v>222</v>
      </c>
      <c r="C23" s="77">
        <v>245</v>
      </c>
      <c r="D23" s="77">
        <v>245</v>
      </c>
    </row>
    <row r="24" spans="1:4" x14ac:dyDescent="0.3">
      <c r="A24" s="78" t="s">
        <v>7</v>
      </c>
      <c r="B24" s="1" t="s">
        <v>216</v>
      </c>
      <c r="C24" s="77">
        <v>1800</v>
      </c>
      <c r="D24" s="77">
        <v>1800</v>
      </c>
    </row>
    <row r="25" spans="1:4" x14ac:dyDescent="0.3">
      <c r="A25" s="78" t="s">
        <v>7</v>
      </c>
      <c r="B25" s="1" t="s">
        <v>218</v>
      </c>
      <c r="C25" s="77">
        <v>290</v>
      </c>
      <c r="D25" s="77">
        <v>290</v>
      </c>
    </row>
    <row r="26" spans="1:4" x14ac:dyDescent="0.3">
      <c r="A26" s="78" t="s">
        <v>8</v>
      </c>
      <c r="B26" s="1" t="s">
        <v>215</v>
      </c>
      <c r="C26" s="77">
        <v>2400</v>
      </c>
      <c r="D26" s="77">
        <v>2400</v>
      </c>
    </row>
    <row r="27" spans="1:4" x14ac:dyDescent="0.3">
      <c r="A27" s="78" t="s">
        <v>8</v>
      </c>
      <c r="B27" s="1" t="s">
        <v>216</v>
      </c>
      <c r="C27" s="77">
        <v>6000</v>
      </c>
      <c r="D27" s="77">
        <v>6000</v>
      </c>
    </row>
    <row r="28" spans="1:4" x14ac:dyDescent="0.3">
      <c r="A28" s="78" t="s">
        <v>8</v>
      </c>
      <c r="B28" s="1" t="s">
        <v>217</v>
      </c>
      <c r="C28" s="77">
        <v>6000</v>
      </c>
      <c r="D28" s="77">
        <v>6000</v>
      </c>
    </row>
    <row r="29" spans="1:4" x14ac:dyDescent="0.3">
      <c r="A29" s="78" t="s">
        <v>8</v>
      </c>
      <c r="B29" s="1" t="s">
        <v>218</v>
      </c>
      <c r="C29" s="77">
        <v>6000</v>
      </c>
      <c r="D29" s="77">
        <v>6000</v>
      </c>
    </row>
    <row r="30" spans="1:4" x14ac:dyDescent="0.3">
      <c r="A30" s="78" t="s">
        <v>8</v>
      </c>
      <c r="B30" s="1" t="s">
        <v>219</v>
      </c>
      <c r="C30" s="77">
        <v>6000</v>
      </c>
      <c r="D30" s="77">
        <v>6000</v>
      </c>
    </row>
    <row r="31" spans="1:4" x14ac:dyDescent="0.3">
      <c r="A31" s="78" t="s">
        <v>8</v>
      </c>
      <c r="B31" s="1" t="s">
        <v>220</v>
      </c>
      <c r="C31" s="77">
        <v>6000</v>
      </c>
      <c r="D31" s="77">
        <v>6000</v>
      </c>
    </row>
    <row r="32" spans="1:4" x14ac:dyDescent="0.3">
      <c r="A32" s="78" t="s">
        <v>8</v>
      </c>
      <c r="B32" s="1" t="s">
        <v>221</v>
      </c>
      <c r="C32" s="77">
        <v>12000</v>
      </c>
      <c r="D32" s="77">
        <v>12000</v>
      </c>
    </row>
    <row r="33" spans="1:4" x14ac:dyDescent="0.3">
      <c r="A33" s="78" t="s">
        <v>8</v>
      </c>
      <c r="B33" s="1" t="s">
        <v>222</v>
      </c>
      <c r="C33" s="77">
        <v>6000</v>
      </c>
      <c r="D33" s="77">
        <v>6000</v>
      </c>
    </row>
    <row r="34" spans="1:4" x14ac:dyDescent="0.3">
      <c r="A34" s="78" t="s">
        <v>9</v>
      </c>
      <c r="B34" s="1" t="s">
        <v>217</v>
      </c>
      <c r="C34" s="77">
        <v>1950</v>
      </c>
      <c r="D34" s="77">
        <v>1950</v>
      </c>
    </row>
    <row r="35" spans="1:4" x14ac:dyDescent="0.3">
      <c r="A35" s="78" t="s">
        <v>10</v>
      </c>
      <c r="B35" s="1" t="s">
        <v>215</v>
      </c>
      <c r="C35" s="77">
        <v>1900</v>
      </c>
      <c r="D35" s="77">
        <v>1900</v>
      </c>
    </row>
    <row r="36" spans="1:4" x14ac:dyDescent="0.3">
      <c r="A36" s="78" t="s">
        <v>10</v>
      </c>
      <c r="B36" s="1" t="s">
        <v>220</v>
      </c>
      <c r="C36" s="77">
        <v>7600</v>
      </c>
      <c r="D36" s="77">
        <v>7600</v>
      </c>
    </row>
    <row r="37" spans="1:4" x14ac:dyDescent="0.3">
      <c r="A37" s="78" t="s">
        <v>10</v>
      </c>
      <c r="B37" s="1" t="s">
        <v>222</v>
      </c>
      <c r="C37" s="77">
        <v>350</v>
      </c>
      <c r="D37" s="77">
        <v>350</v>
      </c>
    </row>
    <row r="38" spans="1:4" x14ac:dyDescent="0.3">
      <c r="A38" s="78" t="s">
        <v>11</v>
      </c>
      <c r="B38" s="1" t="s">
        <v>215</v>
      </c>
      <c r="C38" s="77">
        <v>28903.23</v>
      </c>
      <c r="D38" s="77">
        <v>27348.74</v>
      </c>
    </row>
    <row r="39" spans="1:4" x14ac:dyDescent="0.3">
      <c r="A39" s="78" t="s">
        <v>11</v>
      </c>
      <c r="B39" s="1" t="s">
        <v>216</v>
      </c>
      <c r="C39" s="77">
        <v>128000</v>
      </c>
      <c r="D39" s="77">
        <v>121114</v>
      </c>
    </row>
    <row r="40" spans="1:4" x14ac:dyDescent="0.3">
      <c r="A40" s="78" t="s">
        <v>11</v>
      </c>
      <c r="B40" s="1" t="s">
        <v>217</v>
      </c>
      <c r="C40" s="77">
        <v>148000</v>
      </c>
      <c r="D40" s="77">
        <v>155281</v>
      </c>
    </row>
    <row r="41" spans="1:4" x14ac:dyDescent="0.3">
      <c r="A41" s="78" t="s">
        <v>11</v>
      </c>
      <c r="B41" s="1" t="s">
        <v>218</v>
      </c>
      <c r="C41" s="77">
        <v>128000</v>
      </c>
      <c r="D41" s="77">
        <v>115114</v>
      </c>
    </row>
    <row r="42" spans="1:4" x14ac:dyDescent="0.3">
      <c r="A42" s="78" t="s">
        <v>11</v>
      </c>
      <c r="B42" s="1" t="s">
        <v>219</v>
      </c>
      <c r="C42" s="77">
        <v>148000</v>
      </c>
      <c r="D42" s="77">
        <v>131281</v>
      </c>
    </row>
    <row r="43" spans="1:4" x14ac:dyDescent="0.3">
      <c r="A43" s="78" t="s">
        <v>11</v>
      </c>
      <c r="B43" s="1" t="s">
        <v>220</v>
      </c>
      <c r="C43" s="77">
        <v>120000</v>
      </c>
      <c r="D43" s="77">
        <v>112566</v>
      </c>
    </row>
    <row r="44" spans="1:4" x14ac:dyDescent="0.3">
      <c r="A44" s="78" t="s">
        <v>11</v>
      </c>
      <c r="B44" s="1" t="s">
        <v>221</v>
      </c>
      <c r="C44" s="77">
        <v>175500</v>
      </c>
      <c r="D44" s="77">
        <v>161679.51999999999</v>
      </c>
    </row>
    <row r="45" spans="1:4" x14ac:dyDescent="0.3">
      <c r="A45" s="78" t="s">
        <v>11</v>
      </c>
      <c r="B45" s="1" t="s">
        <v>222</v>
      </c>
      <c r="C45" s="77">
        <v>125500</v>
      </c>
      <c r="D45" s="77">
        <v>113479.52</v>
      </c>
    </row>
    <row r="46" spans="1:4" x14ac:dyDescent="0.3">
      <c r="A46" s="78" t="s">
        <v>12</v>
      </c>
      <c r="B46" s="1" t="s">
        <v>215</v>
      </c>
      <c r="C46" s="77">
        <v>1150</v>
      </c>
      <c r="D46" s="77">
        <v>1150</v>
      </c>
    </row>
    <row r="47" spans="1:4" x14ac:dyDescent="0.3">
      <c r="A47" s="78" t="s">
        <v>12</v>
      </c>
      <c r="B47" s="1" t="s">
        <v>216</v>
      </c>
      <c r="C47" s="77">
        <v>3410</v>
      </c>
      <c r="D47" s="77">
        <v>3410</v>
      </c>
    </row>
    <row r="48" spans="1:4" x14ac:dyDescent="0.3">
      <c r="A48" s="78" t="s">
        <v>13</v>
      </c>
      <c r="B48" s="1" t="s">
        <v>223</v>
      </c>
      <c r="C48" s="77">
        <v>29158.15</v>
      </c>
      <c r="D48" s="77">
        <v>29158</v>
      </c>
    </row>
    <row r="49" spans="1:4" x14ac:dyDescent="0.3">
      <c r="A49" s="78" t="s">
        <v>13</v>
      </c>
      <c r="B49" s="1" t="s">
        <v>222</v>
      </c>
      <c r="C49" s="77">
        <v>2777</v>
      </c>
      <c r="D49" s="77">
        <v>2777</v>
      </c>
    </row>
    <row r="50" spans="1:4" x14ac:dyDescent="0.3">
      <c r="A50" s="78" t="s">
        <v>14</v>
      </c>
      <c r="B50" s="1" t="s">
        <v>219</v>
      </c>
      <c r="C50" s="77">
        <v>10000</v>
      </c>
      <c r="D50" s="77">
        <v>10000</v>
      </c>
    </row>
    <row r="51" spans="1:4" x14ac:dyDescent="0.3">
      <c r="A51" s="78" t="s">
        <v>15</v>
      </c>
      <c r="B51" s="1" t="s">
        <v>216</v>
      </c>
      <c r="C51" s="77">
        <v>4500</v>
      </c>
      <c r="D51" s="77">
        <v>4500</v>
      </c>
    </row>
    <row r="52" spans="1:4" x14ac:dyDescent="0.3">
      <c r="A52" s="75" t="s">
        <v>15</v>
      </c>
      <c r="B52" s="75" t="s">
        <v>217</v>
      </c>
      <c r="C52" s="75">
        <v>569</v>
      </c>
      <c r="D52" s="75">
        <v>569</v>
      </c>
    </row>
    <row r="53" spans="1:4" x14ac:dyDescent="0.3">
      <c r="A53" s="75" t="s">
        <v>15</v>
      </c>
      <c r="B53" s="75" t="s">
        <v>218</v>
      </c>
      <c r="C53" s="75">
        <v>380</v>
      </c>
      <c r="D53" s="75">
        <v>380</v>
      </c>
    </row>
    <row r="54" spans="1:4" x14ac:dyDescent="0.3">
      <c r="A54" s="75" t="s">
        <v>15</v>
      </c>
      <c r="B54" s="75" t="s">
        <v>219</v>
      </c>
      <c r="C54" s="75">
        <v>6000</v>
      </c>
      <c r="D54" s="75">
        <v>6000</v>
      </c>
    </row>
    <row r="55" spans="1:4" x14ac:dyDescent="0.3">
      <c r="A55" s="75" t="s">
        <v>15</v>
      </c>
      <c r="B55" s="75" t="s">
        <v>221</v>
      </c>
      <c r="C55" s="75">
        <v>1208</v>
      </c>
      <c r="D55" s="75">
        <v>1208</v>
      </c>
    </row>
    <row r="56" spans="1:4" x14ac:dyDescent="0.3">
      <c r="A56" s="75" t="s">
        <v>15</v>
      </c>
      <c r="B56" s="75" t="s">
        <v>222</v>
      </c>
      <c r="C56" s="75">
        <v>938</v>
      </c>
      <c r="D56" s="75">
        <v>938</v>
      </c>
    </row>
    <row r="57" spans="1:4" x14ac:dyDescent="0.3">
      <c r="A57" s="75" t="s">
        <v>204</v>
      </c>
      <c r="B57" s="75" t="s">
        <v>222</v>
      </c>
      <c r="C57" s="75">
        <v>2100</v>
      </c>
      <c r="D57" s="75">
        <v>2100</v>
      </c>
    </row>
    <row r="58" spans="1:4" x14ac:dyDescent="0.3">
      <c r="C58">
        <f>SUM(C2:C57)</f>
        <v>2936950.68</v>
      </c>
    </row>
  </sheetData>
  <autoFilter ref="A1:D1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60"/>
  <sheetViews>
    <sheetView topLeftCell="A23" workbookViewId="0">
      <selection activeCell="F12" sqref="F12"/>
    </sheetView>
  </sheetViews>
  <sheetFormatPr defaultRowHeight="14.4" x14ac:dyDescent="0.3"/>
  <cols>
    <col min="1" max="1" width="25.33203125" bestFit="1" customWidth="1"/>
    <col min="2" max="2" width="11.21875" bestFit="1" customWidth="1"/>
    <col min="3" max="3" width="19.21875" bestFit="1" customWidth="1"/>
    <col min="4" max="4" width="18.6640625" bestFit="1" customWidth="1"/>
  </cols>
  <sheetData>
    <row r="3" spans="1:4" x14ac:dyDescent="0.3">
      <c r="A3" s="76" t="s">
        <v>0</v>
      </c>
      <c r="B3" s="76" t="s">
        <v>1</v>
      </c>
      <c r="C3" s="1" t="s">
        <v>180</v>
      </c>
      <c r="D3" s="1" t="s">
        <v>181</v>
      </c>
    </row>
    <row r="4" spans="1:4" x14ac:dyDescent="0.3">
      <c r="A4" s="1" t="s">
        <v>2</v>
      </c>
      <c r="B4" s="1" t="s">
        <v>215</v>
      </c>
      <c r="C4" s="77">
        <v>6400</v>
      </c>
      <c r="D4" s="77">
        <v>6400</v>
      </c>
    </row>
    <row r="5" spans="1:4" x14ac:dyDescent="0.3">
      <c r="A5" s="1" t="s">
        <v>2</v>
      </c>
      <c r="B5" s="1" t="s">
        <v>216</v>
      </c>
      <c r="C5" s="77">
        <v>41100</v>
      </c>
      <c r="D5" s="77">
        <v>41100</v>
      </c>
    </row>
    <row r="6" spans="1:4" x14ac:dyDescent="0.3">
      <c r="A6" s="1" t="s">
        <v>2</v>
      </c>
      <c r="B6" s="1" t="s">
        <v>217</v>
      </c>
      <c r="C6" s="77">
        <v>14411</v>
      </c>
      <c r="D6" s="77">
        <v>14411</v>
      </c>
    </row>
    <row r="7" spans="1:4" x14ac:dyDescent="0.3">
      <c r="A7" s="1" t="s">
        <v>2</v>
      </c>
      <c r="B7" s="1" t="s">
        <v>218</v>
      </c>
      <c r="C7" s="77">
        <v>41849.49</v>
      </c>
      <c r="D7" s="77">
        <v>41850</v>
      </c>
    </row>
    <row r="8" spans="1:4" x14ac:dyDescent="0.3">
      <c r="A8" s="1" t="s">
        <v>2</v>
      </c>
      <c r="B8" s="1" t="s">
        <v>219</v>
      </c>
      <c r="C8" s="77">
        <v>12170</v>
      </c>
      <c r="D8" s="77">
        <v>12170</v>
      </c>
    </row>
    <row r="9" spans="1:4" x14ac:dyDescent="0.3">
      <c r="A9" s="1" t="s">
        <v>2</v>
      </c>
      <c r="B9" s="1" t="s">
        <v>220</v>
      </c>
      <c r="C9" s="77">
        <v>400</v>
      </c>
      <c r="D9" s="77">
        <v>400</v>
      </c>
    </row>
    <row r="10" spans="1:4" x14ac:dyDescent="0.3">
      <c r="A10" s="1" t="s">
        <v>2</v>
      </c>
      <c r="B10" s="1" t="s">
        <v>221</v>
      </c>
      <c r="C10" s="77">
        <v>630</v>
      </c>
      <c r="D10" s="77">
        <v>630</v>
      </c>
    </row>
    <row r="11" spans="1:4" x14ac:dyDescent="0.3">
      <c r="A11" s="1" t="s">
        <v>2</v>
      </c>
      <c r="B11" s="1" t="s">
        <v>222</v>
      </c>
      <c r="C11" s="77">
        <v>1540</v>
      </c>
      <c r="D11" s="77">
        <v>1540</v>
      </c>
    </row>
    <row r="12" spans="1:4" x14ac:dyDescent="0.3">
      <c r="A12" s="1" t="s">
        <v>3</v>
      </c>
      <c r="B12" s="1" t="s">
        <v>216</v>
      </c>
      <c r="C12" s="77">
        <v>267500</v>
      </c>
      <c r="D12" s="77">
        <v>31565</v>
      </c>
    </row>
    <row r="13" spans="1:4" x14ac:dyDescent="0.3">
      <c r="A13" s="1" t="s">
        <v>3</v>
      </c>
      <c r="B13" s="1" t="s">
        <v>217</v>
      </c>
      <c r="C13" s="77">
        <v>30000</v>
      </c>
      <c r="D13" s="77">
        <v>35400</v>
      </c>
    </row>
    <row r="14" spans="1:4" x14ac:dyDescent="0.3">
      <c r="A14" s="1" t="s">
        <v>3</v>
      </c>
      <c r="B14" s="1" t="s">
        <v>218</v>
      </c>
      <c r="C14" s="77">
        <v>175000</v>
      </c>
      <c r="D14" s="77">
        <v>175000</v>
      </c>
    </row>
    <row r="15" spans="1:4" x14ac:dyDescent="0.3">
      <c r="A15" s="1" t="s">
        <v>3</v>
      </c>
      <c r="B15" s="1" t="s">
        <v>219</v>
      </c>
      <c r="C15" s="77">
        <v>175000</v>
      </c>
      <c r="D15" s="77">
        <v>189065</v>
      </c>
    </row>
    <row r="16" spans="1:4" x14ac:dyDescent="0.3">
      <c r="A16" s="1" t="s">
        <v>3</v>
      </c>
      <c r="B16" s="1" t="s">
        <v>224</v>
      </c>
      <c r="C16" s="77"/>
      <c r="D16" s="77">
        <v>247170</v>
      </c>
    </row>
    <row r="17" spans="1:4" x14ac:dyDescent="0.3">
      <c r="A17" s="1" t="s">
        <v>4</v>
      </c>
      <c r="B17" s="1" t="s">
        <v>217</v>
      </c>
      <c r="C17" s="77">
        <v>69000</v>
      </c>
      <c r="D17" s="77">
        <v>80730</v>
      </c>
    </row>
    <row r="18" spans="1:4" x14ac:dyDescent="0.3">
      <c r="A18" s="1" t="s">
        <v>4</v>
      </c>
      <c r="B18" s="1" t="s">
        <v>220</v>
      </c>
      <c r="C18" s="77">
        <v>82800</v>
      </c>
      <c r="D18" s="77">
        <v>96876</v>
      </c>
    </row>
    <row r="19" spans="1:4" x14ac:dyDescent="0.3">
      <c r="A19" s="1" t="s">
        <v>4</v>
      </c>
      <c r="B19" s="1" t="s">
        <v>221</v>
      </c>
      <c r="C19" s="77">
        <v>690000</v>
      </c>
      <c r="D19" s="77"/>
    </row>
    <row r="20" spans="1:4" x14ac:dyDescent="0.3">
      <c r="A20" s="1" t="s">
        <v>5</v>
      </c>
      <c r="B20" s="1" t="s">
        <v>216</v>
      </c>
      <c r="C20" s="77">
        <v>61693</v>
      </c>
      <c r="D20" s="77">
        <v>55550</v>
      </c>
    </row>
    <row r="21" spans="1:4" x14ac:dyDescent="0.3">
      <c r="A21" s="1" t="s">
        <v>5</v>
      </c>
      <c r="B21" s="1" t="s">
        <v>217</v>
      </c>
      <c r="C21" s="77">
        <v>17000</v>
      </c>
      <c r="D21" s="77">
        <v>22041</v>
      </c>
    </row>
    <row r="22" spans="1:4" x14ac:dyDescent="0.3">
      <c r="A22" s="1" t="s">
        <v>5</v>
      </c>
      <c r="B22" s="1" t="s">
        <v>219</v>
      </c>
      <c r="C22" s="77">
        <v>44428.81</v>
      </c>
      <c r="D22" s="77">
        <v>44428.81</v>
      </c>
    </row>
    <row r="23" spans="1:4" x14ac:dyDescent="0.3">
      <c r="A23" s="1" t="s">
        <v>5</v>
      </c>
      <c r="B23" s="1" t="s">
        <v>222</v>
      </c>
      <c r="C23" s="77">
        <v>76000</v>
      </c>
      <c r="D23" s="77">
        <v>76000</v>
      </c>
    </row>
    <row r="24" spans="1:4" x14ac:dyDescent="0.3">
      <c r="A24" s="1" t="s">
        <v>6</v>
      </c>
      <c r="B24" s="1" t="s">
        <v>218</v>
      </c>
      <c r="C24" s="77">
        <v>1400</v>
      </c>
      <c r="D24" s="77">
        <v>1400</v>
      </c>
    </row>
    <row r="25" spans="1:4" x14ac:dyDescent="0.3">
      <c r="A25" s="1" t="s">
        <v>6</v>
      </c>
      <c r="B25" s="1" t="s">
        <v>222</v>
      </c>
      <c r="C25" s="77">
        <v>245</v>
      </c>
      <c r="D25" s="77">
        <v>245</v>
      </c>
    </row>
    <row r="26" spans="1:4" x14ac:dyDescent="0.3">
      <c r="A26" s="1" t="s">
        <v>7</v>
      </c>
      <c r="B26" s="1" t="s">
        <v>216</v>
      </c>
      <c r="C26" s="77">
        <v>1800</v>
      </c>
      <c r="D26" s="77">
        <v>1800</v>
      </c>
    </row>
    <row r="27" spans="1:4" x14ac:dyDescent="0.3">
      <c r="A27" s="1" t="s">
        <v>7</v>
      </c>
      <c r="B27" s="1" t="s">
        <v>218</v>
      </c>
      <c r="C27" s="77">
        <v>290</v>
      </c>
      <c r="D27" s="77">
        <v>290</v>
      </c>
    </row>
    <row r="28" spans="1:4" x14ac:dyDescent="0.3">
      <c r="A28" s="1" t="s">
        <v>8</v>
      </c>
      <c r="B28" s="1" t="s">
        <v>215</v>
      </c>
      <c r="C28" s="77">
        <v>2400</v>
      </c>
      <c r="D28" s="77">
        <v>2400</v>
      </c>
    </row>
    <row r="29" spans="1:4" x14ac:dyDescent="0.3">
      <c r="A29" s="1" t="s">
        <v>8</v>
      </c>
      <c r="B29" s="1" t="s">
        <v>216</v>
      </c>
      <c r="C29" s="77">
        <v>6000</v>
      </c>
      <c r="D29" s="77">
        <v>6000</v>
      </c>
    </row>
    <row r="30" spans="1:4" x14ac:dyDescent="0.3">
      <c r="A30" s="1" t="s">
        <v>8</v>
      </c>
      <c r="B30" s="1" t="s">
        <v>217</v>
      </c>
      <c r="C30" s="77">
        <v>6000</v>
      </c>
      <c r="D30" s="77">
        <v>6000</v>
      </c>
    </row>
    <row r="31" spans="1:4" x14ac:dyDescent="0.3">
      <c r="A31" s="1" t="s">
        <v>8</v>
      </c>
      <c r="B31" s="1" t="s">
        <v>218</v>
      </c>
      <c r="C31" s="77">
        <v>6000</v>
      </c>
      <c r="D31" s="77">
        <v>6000</v>
      </c>
    </row>
    <row r="32" spans="1:4" x14ac:dyDescent="0.3">
      <c r="A32" s="1" t="s">
        <v>8</v>
      </c>
      <c r="B32" s="1" t="s">
        <v>219</v>
      </c>
      <c r="C32" s="77">
        <v>6000</v>
      </c>
      <c r="D32" s="77">
        <v>6000</v>
      </c>
    </row>
    <row r="33" spans="1:4" x14ac:dyDescent="0.3">
      <c r="A33" s="1" t="s">
        <v>8</v>
      </c>
      <c r="B33" s="1" t="s">
        <v>220</v>
      </c>
      <c r="C33" s="77">
        <v>6000</v>
      </c>
      <c r="D33" s="77">
        <v>6000</v>
      </c>
    </row>
    <row r="34" spans="1:4" x14ac:dyDescent="0.3">
      <c r="A34" s="1" t="s">
        <v>8</v>
      </c>
      <c r="B34" s="1" t="s">
        <v>221</v>
      </c>
      <c r="C34" s="77">
        <v>12000</v>
      </c>
      <c r="D34" s="77">
        <v>12000</v>
      </c>
    </row>
    <row r="35" spans="1:4" x14ac:dyDescent="0.3">
      <c r="A35" s="1" t="s">
        <v>8</v>
      </c>
      <c r="B35" s="1" t="s">
        <v>222</v>
      </c>
      <c r="C35" s="77">
        <v>6000</v>
      </c>
      <c r="D35" s="77">
        <v>6000</v>
      </c>
    </row>
    <row r="36" spans="1:4" x14ac:dyDescent="0.3">
      <c r="A36" s="1" t="s">
        <v>9</v>
      </c>
      <c r="B36" s="1" t="s">
        <v>217</v>
      </c>
      <c r="C36" s="77">
        <v>1950</v>
      </c>
      <c r="D36" s="77">
        <v>1950</v>
      </c>
    </row>
    <row r="37" spans="1:4" x14ac:dyDescent="0.3">
      <c r="A37" s="1" t="s">
        <v>10</v>
      </c>
      <c r="B37" s="1" t="s">
        <v>215</v>
      </c>
      <c r="C37" s="77">
        <v>1900</v>
      </c>
      <c r="D37" s="77">
        <v>1900</v>
      </c>
    </row>
    <row r="38" spans="1:4" x14ac:dyDescent="0.3">
      <c r="A38" s="1" t="s">
        <v>10</v>
      </c>
      <c r="B38" s="1" t="s">
        <v>220</v>
      </c>
      <c r="C38" s="77">
        <v>7600</v>
      </c>
      <c r="D38" s="77">
        <v>7600</v>
      </c>
    </row>
    <row r="39" spans="1:4" x14ac:dyDescent="0.3">
      <c r="A39" s="1" t="s">
        <v>10</v>
      </c>
      <c r="B39" s="1" t="s">
        <v>222</v>
      </c>
      <c r="C39" s="77">
        <v>350</v>
      </c>
      <c r="D39" s="77">
        <v>350</v>
      </c>
    </row>
    <row r="40" spans="1:4" x14ac:dyDescent="0.3">
      <c r="A40" s="1" t="s">
        <v>11</v>
      </c>
      <c r="B40" s="1" t="s">
        <v>215</v>
      </c>
      <c r="C40" s="77">
        <v>28903.23</v>
      </c>
      <c r="D40" s="77">
        <v>27348.74</v>
      </c>
    </row>
    <row r="41" spans="1:4" x14ac:dyDescent="0.3">
      <c r="A41" s="1" t="s">
        <v>11</v>
      </c>
      <c r="B41" s="1" t="s">
        <v>216</v>
      </c>
      <c r="C41" s="77">
        <v>128000</v>
      </c>
      <c r="D41" s="77">
        <v>121114</v>
      </c>
    </row>
    <row r="42" spans="1:4" x14ac:dyDescent="0.3">
      <c r="A42" s="1" t="s">
        <v>11</v>
      </c>
      <c r="B42" s="1" t="s">
        <v>217</v>
      </c>
      <c r="C42" s="77">
        <v>148000</v>
      </c>
      <c r="D42" s="77">
        <v>155281</v>
      </c>
    </row>
    <row r="43" spans="1:4" x14ac:dyDescent="0.3">
      <c r="A43" s="1" t="s">
        <v>11</v>
      </c>
      <c r="B43" s="1" t="s">
        <v>218</v>
      </c>
      <c r="C43" s="77">
        <v>128000</v>
      </c>
      <c r="D43" s="77">
        <v>115114</v>
      </c>
    </row>
    <row r="44" spans="1:4" x14ac:dyDescent="0.3">
      <c r="A44" s="1" t="s">
        <v>11</v>
      </c>
      <c r="B44" s="1" t="s">
        <v>219</v>
      </c>
      <c r="C44" s="77">
        <v>148000</v>
      </c>
      <c r="D44" s="77">
        <v>131281</v>
      </c>
    </row>
    <row r="45" spans="1:4" x14ac:dyDescent="0.3">
      <c r="A45" s="1" t="s">
        <v>11</v>
      </c>
      <c r="B45" s="1" t="s">
        <v>220</v>
      </c>
      <c r="C45" s="77">
        <v>120000</v>
      </c>
      <c r="D45" s="77">
        <v>112566</v>
      </c>
    </row>
    <row r="46" spans="1:4" x14ac:dyDescent="0.3">
      <c r="A46" s="1" t="s">
        <v>11</v>
      </c>
      <c r="B46" s="1" t="s">
        <v>221</v>
      </c>
      <c r="C46" s="77">
        <v>175500</v>
      </c>
      <c r="D46" s="77">
        <v>161679.51999999999</v>
      </c>
    </row>
    <row r="47" spans="1:4" x14ac:dyDescent="0.3">
      <c r="A47" s="1" t="s">
        <v>11</v>
      </c>
      <c r="B47" s="1" t="s">
        <v>222</v>
      </c>
      <c r="C47" s="77">
        <v>125500</v>
      </c>
      <c r="D47" s="77">
        <v>113479.52</v>
      </c>
    </row>
    <row r="48" spans="1:4" x14ac:dyDescent="0.3">
      <c r="A48" s="1" t="s">
        <v>12</v>
      </c>
      <c r="B48" s="1" t="s">
        <v>215</v>
      </c>
      <c r="C48" s="77">
        <v>1150</v>
      </c>
      <c r="D48" s="77">
        <v>1150</v>
      </c>
    </row>
    <row r="49" spans="1:4" x14ac:dyDescent="0.3">
      <c r="A49" s="1" t="s">
        <v>12</v>
      </c>
      <c r="B49" s="1" t="s">
        <v>216</v>
      </c>
      <c r="C49" s="77">
        <v>3410</v>
      </c>
      <c r="D49" s="77">
        <v>3410</v>
      </c>
    </row>
    <row r="50" spans="1:4" x14ac:dyDescent="0.3">
      <c r="A50" s="1" t="s">
        <v>13</v>
      </c>
      <c r="B50" s="1" t="s">
        <v>223</v>
      </c>
      <c r="C50" s="77">
        <v>29158.15</v>
      </c>
      <c r="D50" s="77">
        <v>29158</v>
      </c>
    </row>
    <row r="51" spans="1:4" x14ac:dyDescent="0.3">
      <c r="A51" s="1" t="s">
        <v>13</v>
      </c>
      <c r="B51" s="1" t="s">
        <v>222</v>
      </c>
      <c r="C51" s="77">
        <v>2777</v>
      </c>
      <c r="D51" s="77">
        <v>2777</v>
      </c>
    </row>
    <row r="52" spans="1:4" x14ac:dyDescent="0.3">
      <c r="A52" s="1" t="s">
        <v>14</v>
      </c>
      <c r="B52" s="1" t="s">
        <v>219</v>
      </c>
      <c r="C52" s="77">
        <v>10000</v>
      </c>
      <c r="D52" s="77">
        <v>10000</v>
      </c>
    </row>
    <row r="53" spans="1:4" x14ac:dyDescent="0.3">
      <c r="A53" s="1" t="s">
        <v>15</v>
      </c>
      <c r="B53" s="1" t="s">
        <v>216</v>
      </c>
      <c r="C53" s="77">
        <v>4500</v>
      </c>
      <c r="D53" s="77">
        <v>4500</v>
      </c>
    </row>
    <row r="54" spans="1:4" x14ac:dyDescent="0.3">
      <c r="A54" s="1" t="s">
        <v>15</v>
      </c>
      <c r="B54" s="1" t="s">
        <v>217</v>
      </c>
      <c r="C54" s="77">
        <v>569</v>
      </c>
      <c r="D54" s="77">
        <v>569</v>
      </c>
    </row>
    <row r="55" spans="1:4" x14ac:dyDescent="0.3">
      <c r="A55" s="1" t="s">
        <v>15</v>
      </c>
      <c r="B55" s="1" t="s">
        <v>218</v>
      </c>
      <c r="C55" s="77">
        <v>380</v>
      </c>
      <c r="D55" s="77">
        <v>380</v>
      </c>
    </row>
    <row r="56" spans="1:4" x14ac:dyDescent="0.3">
      <c r="A56" s="1" t="s">
        <v>15</v>
      </c>
      <c r="B56" s="1" t="s">
        <v>219</v>
      </c>
      <c r="C56" s="77">
        <v>6000</v>
      </c>
      <c r="D56" s="77">
        <v>6000</v>
      </c>
    </row>
    <row r="57" spans="1:4" x14ac:dyDescent="0.3">
      <c r="A57" s="1" t="s">
        <v>15</v>
      </c>
      <c r="B57" s="1" t="s">
        <v>221</v>
      </c>
      <c r="C57" s="77">
        <v>1208</v>
      </c>
      <c r="D57" s="77">
        <v>1208</v>
      </c>
    </row>
    <row r="58" spans="1:4" x14ac:dyDescent="0.3">
      <c r="A58" s="1" t="s">
        <v>15</v>
      </c>
      <c r="B58" s="1" t="s">
        <v>222</v>
      </c>
      <c r="C58" s="77">
        <v>938</v>
      </c>
      <c r="D58" s="77">
        <v>938</v>
      </c>
    </row>
    <row r="59" spans="1:4" x14ac:dyDescent="0.3">
      <c r="A59" s="1" t="s">
        <v>204</v>
      </c>
      <c r="B59" s="1" t="s">
        <v>222</v>
      </c>
      <c r="C59" s="77">
        <v>2100</v>
      </c>
      <c r="D59" s="77">
        <v>2100</v>
      </c>
    </row>
    <row r="60" spans="1:4" x14ac:dyDescent="0.3">
      <c r="A60" s="1" t="s">
        <v>179</v>
      </c>
      <c r="B60" s="1"/>
      <c r="C60" s="77">
        <v>2936950.68</v>
      </c>
      <c r="D60" s="77">
        <v>2238315.59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3"/>
  <sheetViews>
    <sheetView topLeftCell="A17" workbookViewId="0">
      <selection activeCell="F10" sqref="F10"/>
    </sheetView>
  </sheetViews>
  <sheetFormatPr defaultRowHeight="14.4" x14ac:dyDescent="0.3"/>
  <cols>
    <col min="1" max="1" width="5.5546875" bestFit="1" customWidth="1"/>
    <col min="2" max="2" width="13.21875" bestFit="1" customWidth="1"/>
    <col min="3" max="3" width="14.77734375" bestFit="1" customWidth="1"/>
    <col min="4" max="4" width="11.109375" customWidth="1"/>
    <col min="5" max="5" width="19.21875" bestFit="1" customWidth="1"/>
    <col min="6" max="6" width="34.33203125" bestFit="1" customWidth="1"/>
    <col min="7" max="7" width="21.6640625" bestFit="1" customWidth="1"/>
    <col min="8" max="8" width="12.88671875" bestFit="1" customWidth="1"/>
    <col min="9" max="9" width="10.21875" bestFit="1" customWidth="1"/>
    <col min="10" max="10" width="54.77734375" bestFit="1" customWidth="1"/>
    <col min="11" max="11" width="24.88671875" bestFit="1" customWidth="1"/>
    <col min="12" max="12" width="16" bestFit="1" customWidth="1"/>
    <col min="13" max="13" width="14.21875" bestFit="1" customWidth="1"/>
    <col min="14" max="14" width="14.109375" bestFit="1" customWidth="1"/>
    <col min="15" max="16" width="11.21875" bestFit="1" customWidth="1"/>
    <col min="17" max="17" width="10.109375" bestFit="1" customWidth="1"/>
    <col min="18" max="18" width="18.44140625" bestFit="1" customWidth="1"/>
    <col min="19" max="19" width="14.77734375" bestFit="1" customWidth="1"/>
    <col min="20" max="20" width="13.5546875" bestFit="1" customWidth="1"/>
    <col min="21" max="21" width="25.77734375" bestFit="1" customWidth="1"/>
  </cols>
  <sheetData>
    <row r="1" spans="1:24" x14ac:dyDescent="0.3">
      <c r="A1" s="83" t="s">
        <v>38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9">
        <f t="shared" ref="L1:T1" si="0">SUBTOTAL(9,L3:L1048576)</f>
        <v>2936950.68</v>
      </c>
      <c r="M1" s="9">
        <f t="shared" si="0"/>
        <v>268074</v>
      </c>
      <c r="N1" s="10">
        <f t="shared" si="0"/>
        <v>3205024.68</v>
      </c>
      <c r="O1" s="9">
        <f t="shared" si="0"/>
        <v>49870</v>
      </c>
      <c r="P1" s="9">
        <f t="shared" si="0"/>
        <v>67299.569999999992</v>
      </c>
      <c r="Q1" s="9">
        <f t="shared" si="0"/>
        <v>2739.6</v>
      </c>
      <c r="R1" s="11">
        <f t="shared" si="0"/>
        <v>3085115.51</v>
      </c>
      <c r="S1" s="12">
        <f t="shared" si="0"/>
        <v>2238315.59</v>
      </c>
      <c r="T1" s="13">
        <f t="shared" si="0"/>
        <v>846799.91999999993</v>
      </c>
      <c r="U1" s="14"/>
      <c r="V1" s="68"/>
      <c r="W1" s="68"/>
      <c r="X1" s="68"/>
    </row>
    <row r="2" spans="1:24" x14ac:dyDescent="0.3">
      <c r="A2" s="15" t="s">
        <v>39</v>
      </c>
      <c r="B2" s="16" t="s">
        <v>40</v>
      </c>
      <c r="C2" s="16" t="s">
        <v>32</v>
      </c>
      <c r="D2" s="14" t="s">
        <v>1</v>
      </c>
      <c r="E2" s="14" t="s">
        <v>41</v>
      </c>
      <c r="F2" s="14" t="s">
        <v>42</v>
      </c>
      <c r="G2" s="14" t="s">
        <v>43</v>
      </c>
      <c r="H2" s="14" t="s">
        <v>44</v>
      </c>
      <c r="I2" s="14" t="s">
        <v>45</v>
      </c>
      <c r="J2" s="14" t="s">
        <v>46</v>
      </c>
      <c r="K2" s="14" t="s">
        <v>0</v>
      </c>
      <c r="L2" s="9" t="s">
        <v>16</v>
      </c>
      <c r="M2" s="9" t="s">
        <v>25</v>
      </c>
      <c r="N2" s="10" t="s">
        <v>38</v>
      </c>
      <c r="O2" s="9" t="s">
        <v>28</v>
      </c>
      <c r="P2" s="9" t="s">
        <v>47</v>
      </c>
      <c r="Q2" s="9" t="s">
        <v>48</v>
      </c>
      <c r="R2" s="11" t="s">
        <v>49</v>
      </c>
      <c r="S2" s="12" t="s">
        <v>50</v>
      </c>
      <c r="T2" s="13" t="s">
        <v>51</v>
      </c>
      <c r="U2" s="14" t="s">
        <v>52</v>
      </c>
      <c r="V2" s="69"/>
      <c r="W2" s="69"/>
      <c r="X2" s="69"/>
    </row>
    <row r="3" spans="1:24" x14ac:dyDescent="0.3">
      <c r="A3" s="17">
        <v>1</v>
      </c>
      <c r="B3" s="18">
        <v>45866</v>
      </c>
      <c r="C3" s="18">
        <v>45866</v>
      </c>
      <c r="D3" s="19" t="str">
        <f>TEXT(B3,"mmm , yyy")</f>
        <v>Jul , 2025</v>
      </c>
      <c r="E3" s="17"/>
      <c r="F3" s="17" t="s">
        <v>53</v>
      </c>
      <c r="G3" s="17" t="s">
        <v>54</v>
      </c>
      <c r="H3" s="17" t="s">
        <v>55</v>
      </c>
      <c r="I3" s="17" t="s">
        <v>56</v>
      </c>
      <c r="J3" s="17" t="s">
        <v>57</v>
      </c>
      <c r="K3" s="17" t="s">
        <v>2</v>
      </c>
      <c r="L3" s="20">
        <v>2000</v>
      </c>
      <c r="M3" s="20">
        <v>0</v>
      </c>
      <c r="N3" s="21">
        <f t="shared" ref="N3:N66" si="1">L3+M3</f>
        <v>2000</v>
      </c>
      <c r="O3" s="20">
        <v>0</v>
      </c>
      <c r="P3" s="20">
        <v>0</v>
      </c>
      <c r="Q3" s="20">
        <v>0</v>
      </c>
      <c r="R3" s="22">
        <f t="shared" ref="R3:R66" si="2">N3-O3-P3-Q3</f>
        <v>2000</v>
      </c>
      <c r="S3" s="23">
        <v>2000</v>
      </c>
      <c r="T3" s="24">
        <f>R3-S3</f>
        <v>0</v>
      </c>
      <c r="U3" s="17"/>
      <c r="V3" s="70"/>
      <c r="W3" s="70"/>
      <c r="X3" s="70"/>
    </row>
    <row r="4" spans="1:24" x14ac:dyDescent="0.3">
      <c r="A4" s="17">
        <v>2</v>
      </c>
      <c r="B4" s="18">
        <v>45866</v>
      </c>
      <c r="C4" s="18">
        <v>45866</v>
      </c>
      <c r="D4" s="19" t="str">
        <f t="shared" ref="D4:D67" si="3">TEXT(B4,"mmm , yyy")</f>
        <v>Jul , 2025</v>
      </c>
      <c r="E4" s="17"/>
      <c r="F4" s="17" t="s">
        <v>53</v>
      </c>
      <c r="G4" s="17" t="s">
        <v>54</v>
      </c>
      <c r="H4" s="17" t="s">
        <v>55</v>
      </c>
      <c r="I4" s="17" t="s">
        <v>56</v>
      </c>
      <c r="J4" s="17" t="s">
        <v>57</v>
      </c>
      <c r="K4" s="17" t="s">
        <v>2</v>
      </c>
      <c r="L4" s="20">
        <v>1000</v>
      </c>
      <c r="M4" s="20">
        <v>0</v>
      </c>
      <c r="N4" s="21">
        <f t="shared" si="1"/>
        <v>1000</v>
      </c>
      <c r="O4" s="20">
        <v>0</v>
      </c>
      <c r="P4" s="20">
        <v>0</v>
      </c>
      <c r="Q4" s="20">
        <v>0</v>
      </c>
      <c r="R4" s="22">
        <f t="shared" si="2"/>
        <v>1000</v>
      </c>
      <c r="S4" s="23">
        <v>1000</v>
      </c>
      <c r="T4" s="24">
        <f>R4-S4</f>
        <v>0</v>
      </c>
      <c r="U4" s="17"/>
      <c r="V4" s="71"/>
      <c r="W4" s="71"/>
      <c r="X4" s="71"/>
    </row>
    <row r="5" spans="1:24" x14ac:dyDescent="0.3">
      <c r="A5" s="25">
        <v>3</v>
      </c>
      <c r="B5" s="18">
        <v>45866</v>
      </c>
      <c r="C5" s="18">
        <v>45866</v>
      </c>
      <c r="D5" s="19" t="str">
        <f t="shared" si="3"/>
        <v>Jul , 2025</v>
      </c>
      <c r="E5" s="25"/>
      <c r="F5" s="25" t="s">
        <v>58</v>
      </c>
      <c r="G5" s="25" t="s">
        <v>59</v>
      </c>
      <c r="H5" s="25" t="s">
        <v>55</v>
      </c>
      <c r="I5" s="25" t="s">
        <v>56</v>
      </c>
      <c r="J5" s="25" t="s">
        <v>60</v>
      </c>
      <c r="K5" s="25" t="s">
        <v>10</v>
      </c>
      <c r="L5" s="26">
        <v>500</v>
      </c>
      <c r="M5" s="26">
        <v>0</v>
      </c>
      <c r="N5" s="21">
        <f t="shared" si="1"/>
        <v>500</v>
      </c>
      <c r="O5" s="26">
        <v>0</v>
      </c>
      <c r="P5" s="26">
        <v>0</v>
      </c>
      <c r="Q5" s="26">
        <v>0</v>
      </c>
      <c r="R5" s="22">
        <f t="shared" si="2"/>
        <v>500</v>
      </c>
      <c r="S5" s="27">
        <v>500</v>
      </c>
      <c r="T5" s="24">
        <f t="shared" ref="T5:T68" si="4">R5-S5</f>
        <v>0</v>
      </c>
      <c r="U5" s="25"/>
      <c r="V5" s="69"/>
      <c r="W5" s="69"/>
      <c r="X5" s="69"/>
    </row>
    <row r="6" spans="1:24" x14ac:dyDescent="0.3">
      <c r="A6" s="17">
        <v>4</v>
      </c>
      <c r="B6" s="18">
        <v>45866</v>
      </c>
      <c r="C6" s="18">
        <v>45866</v>
      </c>
      <c r="D6" s="19" t="str">
        <f t="shared" si="3"/>
        <v>Jul , 2025</v>
      </c>
      <c r="E6" s="25" t="s">
        <v>61</v>
      </c>
      <c r="F6" s="25" t="s">
        <v>62</v>
      </c>
      <c r="G6" s="25" t="s">
        <v>59</v>
      </c>
      <c r="H6" s="25" t="s">
        <v>55</v>
      </c>
      <c r="I6" s="25" t="s">
        <v>56</v>
      </c>
      <c r="J6" s="25" t="s">
        <v>63</v>
      </c>
      <c r="K6" s="25" t="s">
        <v>8</v>
      </c>
      <c r="L6" s="26">
        <v>800</v>
      </c>
      <c r="M6" s="26">
        <v>0</v>
      </c>
      <c r="N6" s="21">
        <f t="shared" si="1"/>
        <v>800</v>
      </c>
      <c r="O6" s="26">
        <v>0</v>
      </c>
      <c r="P6" s="26">
        <v>0</v>
      </c>
      <c r="Q6" s="26">
        <v>0</v>
      </c>
      <c r="R6" s="22">
        <f t="shared" si="2"/>
        <v>800</v>
      </c>
      <c r="S6" s="27">
        <v>800</v>
      </c>
      <c r="T6" s="24">
        <f t="shared" si="4"/>
        <v>0</v>
      </c>
      <c r="U6" s="25"/>
      <c r="V6" s="69"/>
      <c r="W6" s="69"/>
      <c r="X6" s="69"/>
    </row>
    <row r="7" spans="1:24" x14ac:dyDescent="0.3">
      <c r="A7" s="17">
        <v>5</v>
      </c>
      <c r="B7" s="18">
        <v>45866</v>
      </c>
      <c r="C7" s="18">
        <v>45866</v>
      </c>
      <c r="D7" s="19" t="str">
        <f t="shared" si="3"/>
        <v>Jul , 2025</v>
      </c>
      <c r="E7" s="25"/>
      <c r="F7" s="25" t="s">
        <v>62</v>
      </c>
      <c r="G7" s="25" t="s">
        <v>59</v>
      </c>
      <c r="H7" s="25" t="s">
        <v>55</v>
      </c>
      <c r="I7" s="25" t="s">
        <v>56</v>
      </c>
      <c r="J7" s="25" t="s">
        <v>63</v>
      </c>
      <c r="K7" s="25" t="s">
        <v>8</v>
      </c>
      <c r="L7" s="26">
        <v>1600</v>
      </c>
      <c r="M7" s="26">
        <v>0</v>
      </c>
      <c r="N7" s="21">
        <f t="shared" si="1"/>
        <v>1600</v>
      </c>
      <c r="O7" s="26">
        <v>0</v>
      </c>
      <c r="P7" s="26">
        <v>0</v>
      </c>
      <c r="Q7" s="26">
        <v>0</v>
      </c>
      <c r="R7" s="22">
        <f t="shared" si="2"/>
        <v>1600</v>
      </c>
      <c r="S7" s="27">
        <v>1600</v>
      </c>
      <c r="T7" s="24">
        <f t="shared" si="4"/>
        <v>0</v>
      </c>
      <c r="U7" s="25"/>
      <c r="V7" s="69"/>
      <c r="W7" s="69"/>
      <c r="X7" s="69"/>
    </row>
    <row r="8" spans="1:24" x14ac:dyDescent="0.3">
      <c r="A8" s="25">
        <v>6</v>
      </c>
      <c r="B8" s="18">
        <v>45866</v>
      </c>
      <c r="C8" s="18">
        <v>45866</v>
      </c>
      <c r="D8" s="19" t="str">
        <f t="shared" si="3"/>
        <v>Jul , 2025</v>
      </c>
      <c r="E8" s="25"/>
      <c r="F8" s="25" t="s">
        <v>64</v>
      </c>
      <c r="G8" s="25" t="s">
        <v>59</v>
      </c>
      <c r="H8" s="25" t="s">
        <v>55</v>
      </c>
      <c r="I8" s="25" t="s">
        <v>56</v>
      </c>
      <c r="J8" s="25" t="s">
        <v>65</v>
      </c>
      <c r="K8" s="25" t="s">
        <v>12</v>
      </c>
      <c r="L8" s="26">
        <v>700</v>
      </c>
      <c r="M8" s="26">
        <v>0</v>
      </c>
      <c r="N8" s="21">
        <f t="shared" si="1"/>
        <v>700</v>
      </c>
      <c r="O8" s="26">
        <v>0</v>
      </c>
      <c r="P8" s="26">
        <v>0</v>
      </c>
      <c r="Q8" s="26">
        <v>0</v>
      </c>
      <c r="R8" s="28">
        <f t="shared" si="2"/>
        <v>700</v>
      </c>
      <c r="S8" s="27">
        <v>700</v>
      </c>
      <c r="T8" s="29">
        <f t="shared" si="4"/>
        <v>0</v>
      </c>
      <c r="U8" s="25"/>
      <c r="V8" s="69"/>
      <c r="W8" s="69"/>
      <c r="X8" s="69"/>
    </row>
    <row r="9" spans="1:24" x14ac:dyDescent="0.3">
      <c r="A9" s="17">
        <v>7</v>
      </c>
      <c r="B9" s="18">
        <v>45866</v>
      </c>
      <c r="C9" s="18">
        <v>45866</v>
      </c>
      <c r="D9" s="19" t="str">
        <f t="shared" si="3"/>
        <v>Jul , 2025</v>
      </c>
      <c r="E9" s="25"/>
      <c r="F9" s="25" t="s">
        <v>66</v>
      </c>
      <c r="G9" s="25" t="s">
        <v>59</v>
      </c>
      <c r="H9" s="25" t="s">
        <v>55</v>
      </c>
      <c r="I9" s="25" t="s">
        <v>56</v>
      </c>
      <c r="J9" s="25" t="s">
        <v>67</v>
      </c>
      <c r="K9" s="25" t="s">
        <v>10</v>
      </c>
      <c r="L9" s="26">
        <v>1100</v>
      </c>
      <c r="M9" s="26">
        <v>0</v>
      </c>
      <c r="N9" s="21">
        <f t="shared" si="1"/>
        <v>1100</v>
      </c>
      <c r="O9" s="26">
        <v>0</v>
      </c>
      <c r="P9" s="26">
        <v>0</v>
      </c>
      <c r="Q9" s="26">
        <v>0</v>
      </c>
      <c r="R9" s="28">
        <f t="shared" si="2"/>
        <v>1100</v>
      </c>
      <c r="S9" s="27">
        <v>1100</v>
      </c>
      <c r="T9" s="24">
        <f t="shared" si="4"/>
        <v>0</v>
      </c>
      <c r="U9" s="25"/>
      <c r="V9" s="69"/>
      <c r="W9" s="69"/>
      <c r="X9" s="69"/>
    </row>
    <row r="10" spans="1:24" x14ac:dyDescent="0.3">
      <c r="A10" s="17">
        <v>8</v>
      </c>
      <c r="B10" s="18">
        <v>45866</v>
      </c>
      <c r="C10" s="18">
        <v>45866</v>
      </c>
      <c r="D10" s="19" t="str">
        <f t="shared" si="3"/>
        <v>Jul , 2025</v>
      </c>
      <c r="E10" s="25"/>
      <c r="F10" s="25" t="s">
        <v>68</v>
      </c>
      <c r="G10" s="25" t="s">
        <v>59</v>
      </c>
      <c r="H10" s="25" t="s">
        <v>55</v>
      </c>
      <c r="I10" s="25" t="s">
        <v>56</v>
      </c>
      <c r="J10" s="25" t="s">
        <v>69</v>
      </c>
      <c r="K10" s="25" t="s">
        <v>10</v>
      </c>
      <c r="L10" s="26">
        <v>200</v>
      </c>
      <c r="M10" s="26">
        <v>0</v>
      </c>
      <c r="N10" s="21">
        <f t="shared" si="1"/>
        <v>200</v>
      </c>
      <c r="O10" s="26">
        <v>0</v>
      </c>
      <c r="P10" s="26">
        <v>0</v>
      </c>
      <c r="Q10" s="26">
        <v>0</v>
      </c>
      <c r="R10" s="28">
        <f t="shared" si="2"/>
        <v>200</v>
      </c>
      <c r="S10" s="27">
        <v>200</v>
      </c>
      <c r="T10" s="24">
        <f t="shared" si="4"/>
        <v>0</v>
      </c>
      <c r="U10" s="25"/>
      <c r="V10" s="69"/>
      <c r="W10" s="69"/>
      <c r="X10" s="69"/>
    </row>
    <row r="11" spans="1:24" x14ac:dyDescent="0.3">
      <c r="A11" s="25">
        <v>9</v>
      </c>
      <c r="B11" s="18">
        <v>45867</v>
      </c>
      <c r="C11" s="18">
        <v>45867</v>
      </c>
      <c r="D11" s="19" t="str">
        <f t="shared" si="3"/>
        <v>Jul , 2025</v>
      </c>
      <c r="E11" s="25"/>
      <c r="F11" s="25" t="s">
        <v>53</v>
      </c>
      <c r="G11" s="25" t="s">
        <v>59</v>
      </c>
      <c r="H11" s="25" t="s">
        <v>55</v>
      </c>
      <c r="I11" s="25" t="s">
        <v>56</v>
      </c>
      <c r="J11" s="17" t="s">
        <v>57</v>
      </c>
      <c r="K11" s="17" t="s">
        <v>2</v>
      </c>
      <c r="L11" s="26">
        <v>1400</v>
      </c>
      <c r="M11" s="26">
        <v>0</v>
      </c>
      <c r="N11" s="21">
        <f t="shared" si="1"/>
        <v>1400</v>
      </c>
      <c r="O11" s="26">
        <v>0</v>
      </c>
      <c r="P11" s="26">
        <v>0</v>
      </c>
      <c r="Q11" s="26">
        <v>0</v>
      </c>
      <c r="R11" s="28">
        <f t="shared" si="2"/>
        <v>1400</v>
      </c>
      <c r="S11" s="27">
        <v>1400</v>
      </c>
      <c r="T11" s="24">
        <f t="shared" si="4"/>
        <v>0</v>
      </c>
      <c r="U11" s="25"/>
      <c r="V11" s="69"/>
      <c r="W11" s="69"/>
      <c r="X11" s="69"/>
    </row>
    <row r="12" spans="1:24" x14ac:dyDescent="0.3">
      <c r="A12" s="17">
        <v>10</v>
      </c>
      <c r="B12" s="18">
        <v>45867</v>
      </c>
      <c r="C12" s="18">
        <v>45867</v>
      </c>
      <c r="D12" s="19" t="str">
        <f t="shared" si="3"/>
        <v>Jul , 2025</v>
      </c>
      <c r="E12" s="25"/>
      <c r="F12" s="25" t="s">
        <v>68</v>
      </c>
      <c r="G12" s="25" t="s">
        <v>59</v>
      </c>
      <c r="H12" s="25" t="s">
        <v>55</v>
      </c>
      <c r="I12" s="25" t="s">
        <v>56</v>
      </c>
      <c r="J12" s="25" t="s">
        <v>69</v>
      </c>
      <c r="K12" s="25" t="s">
        <v>10</v>
      </c>
      <c r="L12" s="26">
        <v>100</v>
      </c>
      <c r="M12" s="26">
        <v>0</v>
      </c>
      <c r="N12" s="21">
        <f t="shared" si="1"/>
        <v>100</v>
      </c>
      <c r="O12" s="26">
        <v>0</v>
      </c>
      <c r="P12" s="26">
        <v>0</v>
      </c>
      <c r="Q12" s="26">
        <v>0</v>
      </c>
      <c r="R12" s="28">
        <f t="shared" si="2"/>
        <v>100</v>
      </c>
      <c r="S12" s="27">
        <v>100</v>
      </c>
      <c r="T12" s="24">
        <f t="shared" si="4"/>
        <v>0</v>
      </c>
      <c r="U12" s="25"/>
      <c r="V12" s="69"/>
      <c r="W12" s="69"/>
      <c r="X12" s="69"/>
    </row>
    <row r="13" spans="1:24" x14ac:dyDescent="0.3">
      <c r="A13" s="17">
        <v>11</v>
      </c>
      <c r="B13" s="30">
        <v>45838</v>
      </c>
      <c r="C13" s="30">
        <v>45872</v>
      </c>
      <c r="D13" s="19" t="str">
        <f t="shared" si="3"/>
        <v>Jun , 2025</v>
      </c>
      <c r="E13" s="25"/>
      <c r="F13" s="25" t="s">
        <v>54</v>
      </c>
      <c r="G13" s="25" t="s">
        <v>70</v>
      </c>
      <c r="H13" s="25" t="s">
        <v>55</v>
      </c>
      <c r="I13" s="25" t="s">
        <v>56</v>
      </c>
      <c r="J13" s="25" t="s">
        <v>71</v>
      </c>
      <c r="K13" s="25" t="s">
        <v>13</v>
      </c>
      <c r="L13" s="26">
        <v>11921</v>
      </c>
      <c r="M13" s="26">
        <v>0</v>
      </c>
      <c r="N13" s="21">
        <f t="shared" si="1"/>
        <v>11921</v>
      </c>
      <c r="O13" s="26">
        <v>0</v>
      </c>
      <c r="P13" s="26">
        <v>0</v>
      </c>
      <c r="Q13" s="26">
        <v>0</v>
      </c>
      <c r="R13" s="28">
        <f t="shared" si="2"/>
        <v>11921</v>
      </c>
      <c r="S13" s="27">
        <v>11921</v>
      </c>
      <c r="T13" s="24">
        <f t="shared" si="4"/>
        <v>0</v>
      </c>
      <c r="U13" s="25"/>
      <c r="V13" s="69"/>
      <c r="W13" s="69"/>
      <c r="X13" s="69"/>
    </row>
    <row r="14" spans="1:24" x14ac:dyDescent="0.3">
      <c r="A14" s="25">
        <v>12</v>
      </c>
      <c r="B14" s="30">
        <v>45868</v>
      </c>
      <c r="C14" s="30">
        <v>45872</v>
      </c>
      <c r="D14" s="19" t="str">
        <f t="shared" si="3"/>
        <v>Jul , 2025</v>
      </c>
      <c r="E14" s="25"/>
      <c r="F14" s="25" t="s">
        <v>72</v>
      </c>
      <c r="G14" s="25" t="s">
        <v>59</v>
      </c>
      <c r="H14" s="25" t="s">
        <v>55</v>
      </c>
      <c r="I14" s="25" t="s">
        <v>56</v>
      </c>
      <c r="J14" s="25" t="s">
        <v>73</v>
      </c>
      <c r="K14" s="25" t="s">
        <v>12</v>
      </c>
      <c r="L14" s="26">
        <v>450</v>
      </c>
      <c r="M14" s="26">
        <v>0</v>
      </c>
      <c r="N14" s="21">
        <f t="shared" si="1"/>
        <v>450</v>
      </c>
      <c r="O14" s="26">
        <v>0</v>
      </c>
      <c r="P14" s="26">
        <v>0</v>
      </c>
      <c r="Q14" s="26"/>
      <c r="R14" s="28">
        <f t="shared" si="2"/>
        <v>450</v>
      </c>
      <c r="S14" s="27">
        <v>450</v>
      </c>
      <c r="T14" s="24">
        <f t="shared" si="4"/>
        <v>0</v>
      </c>
      <c r="U14" s="25"/>
      <c r="V14" s="69"/>
      <c r="W14" s="69"/>
      <c r="X14" s="69"/>
    </row>
    <row r="15" spans="1:24" x14ac:dyDescent="0.3">
      <c r="A15" s="17">
        <v>13</v>
      </c>
      <c r="B15" s="30">
        <v>45869</v>
      </c>
      <c r="C15" s="30">
        <v>45869</v>
      </c>
      <c r="D15" s="19" t="str">
        <f t="shared" si="3"/>
        <v>Jul , 2025</v>
      </c>
      <c r="E15" s="25"/>
      <c r="F15" s="25" t="s">
        <v>53</v>
      </c>
      <c r="G15" s="25" t="s">
        <v>59</v>
      </c>
      <c r="H15" s="25" t="s">
        <v>55</v>
      </c>
      <c r="I15" s="25" t="s">
        <v>56</v>
      </c>
      <c r="J15" s="17" t="s">
        <v>57</v>
      </c>
      <c r="K15" s="17" t="s">
        <v>2</v>
      </c>
      <c r="L15" s="26">
        <v>2000</v>
      </c>
      <c r="M15" s="26">
        <v>0</v>
      </c>
      <c r="N15" s="21">
        <f t="shared" si="1"/>
        <v>2000</v>
      </c>
      <c r="O15" s="26">
        <v>0</v>
      </c>
      <c r="P15" s="26">
        <v>0</v>
      </c>
      <c r="Q15" s="26"/>
      <c r="R15" s="28">
        <f t="shared" si="2"/>
        <v>2000</v>
      </c>
      <c r="S15" s="27">
        <v>2000</v>
      </c>
      <c r="T15" s="24">
        <f t="shared" si="4"/>
        <v>0</v>
      </c>
      <c r="U15" s="25"/>
      <c r="V15" s="69"/>
      <c r="W15" s="69"/>
      <c r="X15" s="69"/>
    </row>
    <row r="16" spans="1:24" x14ac:dyDescent="0.3">
      <c r="A16" s="17">
        <v>14</v>
      </c>
      <c r="B16" s="30">
        <v>45870</v>
      </c>
      <c r="C16" s="30">
        <v>45870</v>
      </c>
      <c r="D16" s="19" t="str">
        <f t="shared" si="3"/>
        <v>Aug , 2025</v>
      </c>
      <c r="E16" s="25"/>
      <c r="F16" s="25" t="s">
        <v>74</v>
      </c>
      <c r="G16" s="25" t="s">
        <v>59</v>
      </c>
      <c r="H16" s="25" t="s">
        <v>55</v>
      </c>
      <c r="I16" s="25" t="s">
        <v>56</v>
      </c>
      <c r="J16" s="25" t="s">
        <v>75</v>
      </c>
      <c r="K16" s="17" t="s">
        <v>2</v>
      </c>
      <c r="L16" s="26">
        <v>520</v>
      </c>
      <c r="M16" s="26">
        <v>0</v>
      </c>
      <c r="N16" s="21">
        <f t="shared" si="1"/>
        <v>520</v>
      </c>
      <c r="O16" s="26">
        <v>0</v>
      </c>
      <c r="P16" s="26">
        <v>0</v>
      </c>
      <c r="Q16" s="26"/>
      <c r="R16" s="28">
        <f t="shared" si="2"/>
        <v>520</v>
      </c>
      <c r="S16" s="27">
        <v>520</v>
      </c>
      <c r="T16" s="24">
        <f t="shared" si="4"/>
        <v>0</v>
      </c>
      <c r="U16" s="25"/>
      <c r="V16" s="69"/>
      <c r="W16" s="69"/>
      <c r="X16" s="69"/>
    </row>
    <row r="17" spans="1:24" x14ac:dyDescent="0.3">
      <c r="A17" s="25">
        <v>15</v>
      </c>
      <c r="B17" s="30">
        <v>45870</v>
      </c>
      <c r="C17" s="30">
        <v>45870</v>
      </c>
      <c r="D17" s="19" t="str">
        <f t="shared" si="3"/>
        <v>Aug , 2025</v>
      </c>
      <c r="E17" s="25" t="s">
        <v>61</v>
      </c>
      <c r="F17" s="25" t="s">
        <v>53</v>
      </c>
      <c r="G17" s="25" t="s">
        <v>59</v>
      </c>
      <c r="H17" s="25" t="s">
        <v>55</v>
      </c>
      <c r="I17" s="25" t="s">
        <v>56</v>
      </c>
      <c r="J17" s="17" t="s">
        <v>57</v>
      </c>
      <c r="K17" s="17" t="s">
        <v>2</v>
      </c>
      <c r="L17" s="26">
        <v>2000</v>
      </c>
      <c r="M17" s="26">
        <v>0</v>
      </c>
      <c r="N17" s="21">
        <f t="shared" si="1"/>
        <v>2000</v>
      </c>
      <c r="O17" s="26">
        <v>0</v>
      </c>
      <c r="P17" s="26">
        <v>0</v>
      </c>
      <c r="Q17" s="26"/>
      <c r="R17" s="28">
        <f t="shared" si="2"/>
        <v>2000</v>
      </c>
      <c r="S17" s="27">
        <v>2000</v>
      </c>
      <c r="T17" s="24">
        <f t="shared" si="4"/>
        <v>0</v>
      </c>
      <c r="U17" s="25"/>
      <c r="V17" s="69"/>
      <c r="W17" s="69"/>
      <c r="X17" s="69"/>
    </row>
    <row r="18" spans="1:24" x14ac:dyDescent="0.3">
      <c r="A18" s="17">
        <v>16</v>
      </c>
      <c r="B18" s="30">
        <v>45870</v>
      </c>
      <c r="C18" s="30">
        <v>45870</v>
      </c>
      <c r="D18" s="19" t="str">
        <f t="shared" si="3"/>
        <v>Aug , 2025</v>
      </c>
      <c r="E18" s="25" t="s">
        <v>61</v>
      </c>
      <c r="F18" s="25" t="s">
        <v>76</v>
      </c>
      <c r="G18" s="25" t="s">
        <v>59</v>
      </c>
      <c r="H18" s="25" t="s">
        <v>55</v>
      </c>
      <c r="I18" s="25" t="s">
        <v>56</v>
      </c>
      <c r="J18" s="25" t="s">
        <v>77</v>
      </c>
      <c r="K18" s="25" t="s">
        <v>12</v>
      </c>
      <c r="L18" s="26">
        <v>810</v>
      </c>
      <c r="M18" s="26">
        <v>0</v>
      </c>
      <c r="N18" s="21">
        <f t="shared" si="1"/>
        <v>810</v>
      </c>
      <c r="O18" s="26">
        <v>0</v>
      </c>
      <c r="P18" s="26">
        <v>0</v>
      </c>
      <c r="Q18" s="26"/>
      <c r="R18" s="28">
        <f t="shared" si="2"/>
        <v>810</v>
      </c>
      <c r="S18" s="27">
        <v>810</v>
      </c>
      <c r="T18" s="24">
        <f t="shared" si="4"/>
        <v>0</v>
      </c>
      <c r="U18" s="25"/>
      <c r="V18" s="69"/>
      <c r="W18" s="69"/>
      <c r="X18" s="69"/>
    </row>
    <row r="19" spans="1:24" x14ac:dyDescent="0.3">
      <c r="A19" s="17">
        <v>17</v>
      </c>
      <c r="B19" s="30">
        <v>45871</v>
      </c>
      <c r="C19" s="30">
        <v>45871</v>
      </c>
      <c r="D19" s="19" t="str">
        <f t="shared" si="3"/>
        <v>Aug , 2025</v>
      </c>
      <c r="E19" s="31" t="s">
        <v>61</v>
      </c>
      <c r="F19" s="25" t="s">
        <v>78</v>
      </c>
      <c r="G19" s="25" t="s">
        <v>79</v>
      </c>
      <c r="H19" s="25" t="s">
        <v>55</v>
      </c>
      <c r="I19" s="25" t="s">
        <v>56</v>
      </c>
      <c r="J19" s="17" t="s">
        <v>80</v>
      </c>
      <c r="K19" s="25" t="s">
        <v>8</v>
      </c>
      <c r="L19" s="26">
        <v>6000</v>
      </c>
      <c r="M19" s="26">
        <v>0</v>
      </c>
      <c r="N19" s="21">
        <f t="shared" si="1"/>
        <v>6000</v>
      </c>
      <c r="O19" s="26">
        <v>0</v>
      </c>
      <c r="P19" s="26">
        <v>0</v>
      </c>
      <c r="Q19" s="26"/>
      <c r="R19" s="28">
        <f t="shared" si="2"/>
        <v>6000</v>
      </c>
      <c r="S19" s="27">
        <v>6000</v>
      </c>
      <c r="T19" s="24">
        <f t="shared" si="4"/>
        <v>0</v>
      </c>
      <c r="U19" s="25"/>
      <c r="V19" s="69"/>
      <c r="W19" s="69"/>
      <c r="X19" s="69"/>
    </row>
    <row r="20" spans="1:24" x14ac:dyDescent="0.3">
      <c r="A20" s="25">
        <v>18</v>
      </c>
      <c r="B20" s="30">
        <v>45871</v>
      </c>
      <c r="C20" s="30">
        <v>45871</v>
      </c>
      <c r="D20" s="19" t="str">
        <f t="shared" si="3"/>
        <v>Aug , 2025</v>
      </c>
      <c r="E20" s="25"/>
      <c r="F20" s="25" t="s">
        <v>53</v>
      </c>
      <c r="G20" s="25" t="s">
        <v>59</v>
      </c>
      <c r="H20" s="25" t="s">
        <v>55</v>
      </c>
      <c r="I20" s="25" t="s">
        <v>56</v>
      </c>
      <c r="J20" s="17" t="s">
        <v>57</v>
      </c>
      <c r="K20" s="17" t="s">
        <v>2</v>
      </c>
      <c r="L20" s="26">
        <v>2000</v>
      </c>
      <c r="M20" s="26">
        <v>0</v>
      </c>
      <c r="N20" s="21">
        <f t="shared" si="1"/>
        <v>2000</v>
      </c>
      <c r="O20" s="26">
        <v>0</v>
      </c>
      <c r="P20" s="26">
        <v>0</v>
      </c>
      <c r="Q20" s="26"/>
      <c r="R20" s="28">
        <f t="shared" si="2"/>
        <v>2000</v>
      </c>
      <c r="S20" s="27">
        <v>2000</v>
      </c>
      <c r="T20" s="24">
        <f t="shared" si="4"/>
        <v>0</v>
      </c>
      <c r="U20" s="25"/>
      <c r="V20" s="69"/>
      <c r="W20" s="69"/>
      <c r="X20" s="69"/>
    </row>
    <row r="21" spans="1:24" x14ac:dyDescent="0.3">
      <c r="A21" s="17">
        <v>19</v>
      </c>
      <c r="B21" s="30">
        <v>45871</v>
      </c>
      <c r="C21" s="30">
        <v>45871</v>
      </c>
      <c r="D21" s="19" t="str">
        <f t="shared" si="3"/>
        <v>Aug , 2025</v>
      </c>
      <c r="E21" s="25"/>
      <c r="F21" s="25" t="s">
        <v>81</v>
      </c>
      <c r="G21" s="25" t="s">
        <v>59</v>
      </c>
      <c r="H21" s="25" t="s">
        <v>55</v>
      </c>
      <c r="I21" s="25" t="s">
        <v>56</v>
      </c>
      <c r="J21" s="25" t="s">
        <v>82</v>
      </c>
      <c r="K21" s="25" t="s">
        <v>5</v>
      </c>
      <c r="L21" s="26"/>
      <c r="M21" s="26">
        <v>0</v>
      </c>
      <c r="N21" s="21">
        <f t="shared" si="1"/>
        <v>0</v>
      </c>
      <c r="O21" s="26">
        <v>0</v>
      </c>
      <c r="P21" s="26">
        <v>0</v>
      </c>
      <c r="Q21" s="26"/>
      <c r="R21" s="28">
        <f t="shared" si="2"/>
        <v>0</v>
      </c>
      <c r="S21" s="27">
        <v>1050</v>
      </c>
      <c r="T21" s="24">
        <f t="shared" si="4"/>
        <v>-1050</v>
      </c>
      <c r="U21" s="25"/>
      <c r="V21" s="69"/>
      <c r="W21" s="69"/>
      <c r="X21" s="69"/>
    </row>
    <row r="22" spans="1:24" x14ac:dyDescent="0.3">
      <c r="A22" s="17">
        <v>20</v>
      </c>
      <c r="B22" s="30">
        <v>45871</v>
      </c>
      <c r="C22" s="30">
        <v>45871</v>
      </c>
      <c r="D22" s="19" t="str">
        <f t="shared" si="3"/>
        <v>Aug , 2025</v>
      </c>
      <c r="E22" s="25"/>
      <c r="F22" s="25" t="s">
        <v>81</v>
      </c>
      <c r="G22" s="25" t="s">
        <v>59</v>
      </c>
      <c r="H22" s="25" t="s">
        <v>55</v>
      </c>
      <c r="I22" s="25" t="s">
        <v>56</v>
      </c>
      <c r="J22" s="25" t="s">
        <v>83</v>
      </c>
      <c r="K22" s="25" t="s">
        <v>5</v>
      </c>
      <c r="L22" s="26">
        <v>0</v>
      </c>
      <c r="M22" s="26">
        <v>0</v>
      </c>
      <c r="N22" s="21">
        <f t="shared" si="1"/>
        <v>0</v>
      </c>
      <c r="O22" s="26">
        <v>0</v>
      </c>
      <c r="P22" s="26">
        <v>0</v>
      </c>
      <c r="Q22" s="26"/>
      <c r="R22" s="28">
        <f t="shared" si="2"/>
        <v>0</v>
      </c>
      <c r="S22" s="27">
        <v>500</v>
      </c>
      <c r="T22" s="24">
        <f t="shared" si="4"/>
        <v>-500</v>
      </c>
      <c r="U22" s="25"/>
      <c r="V22" s="69"/>
      <c r="W22" s="69"/>
      <c r="X22" s="69"/>
    </row>
    <row r="23" spans="1:24" x14ac:dyDescent="0.3">
      <c r="A23" s="25">
        <v>21</v>
      </c>
      <c r="B23" s="30">
        <v>45873</v>
      </c>
      <c r="C23" s="30">
        <v>45873</v>
      </c>
      <c r="D23" s="19" t="str">
        <f t="shared" si="3"/>
        <v>Aug , 2025</v>
      </c>
      <c r="E23" s="25"/>
      <c r="F23" s="25" t="s">
        <v>53</v>
      </c>
      <c r="G23" s="25" t="s">
        <v>59</v>
      </c>
      <c r="H23" s="25" t="s">
        <v>55</v>
      </c>
      <c r="I23" s="25" t="s">
        <v>56</v>
      </c>
      <c r="J23" s="25" t="s">
        <v>75</v>
      </c>
      <c r="K23" s="17" t="s">
        <v>2</v>
      </c>
      <c r="L23" s="26">
        <v>510</v>
      </c>
      <c r="M23" s="26">
        <v>0</v>
      </c>
      <c r="N23" s="21">
        <f t="shared" si="1"/>
        <v>510</v>
      </c>
      <c r="O23" s="26">
        <v>0</v>
      </c>
      <c r="P23" s="26">
        <v>0</v>
      </c>
      <c r="Q23" s="26"/>
      <c r="R23" s="28">
        <f t="shared" si="2"/>
        <v>510</v>
      </c>
      <c r="S23" s="27">
        <v>510</v>
      </c>
      <c r="T23" s="24">
        <f t="shared" si="4"/>
        <v>0</v>
      </c>
      <c r="U23" s="25"/>
      <c r="V23" s="69"/>
      <c r="W23" s="69"/>
      <c r="X23" s="69"/>
    </row>
    <row r="24" spans="1:24" x14ac:dyDescent="0.3">
      <c r="A24" s="17">
        <v>22</v>
      </c>
      <c r="B24" s="30">
        <v>45873</v>
      </c>
      <c r="C24" s="30">
        <v>45873</v>
      </c>
      <c r="D24" s="19" t="str">
        <f t="shared" si="3"/>
        <v>Aug , 2025</v>
      </c>
      <c r="E24" s="25"/>
      <c r="F24" s="25" t="s">
        <v>53</v>
      </c>
      <c r="G24" s="25" t="s">
        <v>59</v>
      </c>
      <c r="H24" s="25" t="s">
        <v>55</v>
      </c>
      <c r="I24" s="25" t="s">
        <v>56</v>
      </c>
      <c r="J24" s="25" t="s">
        <v>84</v>
      </c>
      <c r="K24" s="17" t="s">
        <v>2</v>
      </c>
      <c r="L24" s="26">
        <v>3000</v>
      </c>
      <c r="M24" s="26">
        <v>0</v>
      </c>
      <c r="N24" s="21">
        <f t="shared" si="1"/>
        <v>3000</v>
      </c>
      <c r="O24" s="26">
        <v>0</v>
      </c>
      <c r="P24" s="26">
        <v>0</v>
      </c>
      <c r="Q24" s="26"/>
      <c r="R24" s="28">
        <f t="shared" si="2"/>
        <v>3000</v>
      </c>
      <c r="S24" s="27">
        <v>3000</v>
      </c>
      <c r="T24" s="24">
        <f t="shared" si="4"/>
        <v>0</v>
      </c>
      <c r="U24" s="25"/>
      <c r="V24" s="69"/>
      <c r="W24" s="69"/>
      <c r="X24" s="69"/>
    </row>
    <row r="25" spans="1:24" x14ac:dyDescent="0.3">
      <c r="A25" s="17">
        <v>23</v>
      </c>
      <c r="B25" s="30">
        <v>45873</v>
      </c>
      <c r="C25" s="30">
        <v>45873</v>
      </c>
      <c r="D25" s="19" t="str">
        <f t="shared" si="3"/>
        <v>Aug , 2025</v>
      </c>
      <c r="E25" s="25"/>
      <c r="F25" s="25" t="s">
        <v>85</v>
      </c>
      <c r="G25" s="25" t="s">
        <v>59</v>
      </c>
      <c r="H25" s="25" t="s">
        <v>55</v>
      </c>
      <c r="I25" s="25" t="s">
        <v>56</v>
      </c>
      <c r="J25" s="25" t="s">
        <v>86</v>
      </c>
      <c r="K25" s="25" t="s">
        <v>15</v>
      </c>
      <c r="L25" s="26">
        <v>1500</v>
      </c>
      <c r="M25" s="26">
        <v>0</v>
      </c>
      <c r="N25" s="21">
        <f t="shared" si="1"/>
        <v>1500</v>
      </c>
      <c r="O25" s="26">
        <v>0</v>
      </c>
      <c r="P25" s="26">
        <v>0</v>
      </c>
      <c r="Q25" s="26"/>
      <c r="R25" s="28">
        <f t="shared" si="2"/>
        <v>1500</v>
      </c>
      <c r="S25" s="27">
        <v>1500</v>
      </c>
      <c r="T25" s="24">
        <f t="shared" si="4"/>
        <v>0</v>
      </c>
      <c r="U25" s="25"/>
      <c r="V25" s="69"/>
      <c r="W25" s="69"/>
      <c r="X25" s="69"/>
    </row>
    <row r="26" spans="1:24" x14ac:dyDescent="0.3">
      <c r="A26" s="25">
        <v>24</v>
      </c>
      <c r="B26" s="30">
        <v>45875</v>
      </c>
      <c r="C26" s="30">
        <v>45875</v>
      </c>
      <c r="D26" s="19" t="str">
        <f t="shared" si="3"/>
        <v>Aug , 2025</v>
      </c>
      <c r="E26" s="25"/>
      <c r="F26" s="25" t="s">
        <v>81</v>
      </c>
      <c r="G26" s="25" t="s">
        <v>79</v>
      </c>
      <c r="H26" s="25" t="s">
        <v>55</v>
      </c>
      <c r="I26" s="25" t="s">
        <v>56</v>
      </c>
      <c r="J26" s="25" t="s">
        <v>87</v>
      </c>
      <c r="K26" s="25" t="s">
        <v>5</v>
      </c>
      <c r="L26" s="26">
        <v>0</v>
      </c>
      <c r="M26" s="26">
        <v>0</v>
      </c>
      <c r="N26" s="21">
        <f t="shared" si="1"/>
        <v>0</v>
      </c>
      <c r="O26" s="26">
        <v>0</v>
      </c>
      <c r="P26" s="26">
        <v>0</v>
      </c>
      <c r="Q26" s="26"/>
      <c r="R26" s="28">
        <f t="shared" si="2"/>
        <v>0</v>
      </c>
      <c r="S26" s="27">
        <v>10000</v>
      </c>
      <c r="T26" s="24">
        <f t="shared" si="4"/>
        <v>-10000</v>
      </c>
      <c r="U26" s="25"/>
      <c r="V26" s="69"/>
      <c r="W26" s="69"/>
      <c r="X26" s="69"/>
    </row>
    <row r="27" spans="1:24" x14ac:dyDescent="0.3">
      <c r="A27" s="17">
        <v>25</v>
      </c>
      <c r="B27" s="30">
        <v>45876</v>
      </c>
      <c r="C27" s="30">
        <v>45876</v>
      </c>
      <c r="D27" s="19" t="str">
        <f t="shared" si="3"/>
        <v>Aug , 2025</v>
      </c>
      <c r="E27" s="25"/>
      <c r="F27" s="25" t="s">
        <v>53</v>
      </c>
      <c r="G27" s="25" t="s">
        <v>59</v>
      </c>
      <c r="H27" s="25" t="s">
        <v>55</v>
      </c>
      <c r="I27" s="25" t="s">
        <v>56</v>
      </c>
      <c r="J27" s="17" t="s">
        <v>57</v>
      </c>
      <c r="K27" s="17" t="s">
        <v>2</v>
      </c>
      <c r="L27" s="26">
        <v>3000</v>
      </c>
      <c r="M27" s="26">
        <v>0</v>
      </c>
      <c r="N27" s="21">
        <f t="shared" si="1"/>
        <v>3000</v>
      </c>
      <c r="O27" s="26">
        <v>0</v>
      </c>
      <c r="P27" s="26">
        <v>0</v>
      </c>
      <c r="Q27" s="26"/>
      <c r="R27" s="28">
        <f t="shared" si="2"/>
        <v>3000</v>
      </c>
      <c r="S27" s="27">
        <v>3000</v>
      </c>
      <c r="T27" s="24">
        <f t="shared" si="4"/>
        <v>0</v>
      </c>
      <c r="U27" s="25"/>
      <c r="V27" s="69"/>
      <c r="W27" s="69"/>
      <c r="X27" s="69"/>
    </row>
    <row r="28" spans="1:24" x14ac:dyDescent="0.3">
      <c r="A28" s="17">
        <v>26</v>
      </c>
      <c r="B28" s="30">
        <v>45876</v>
      </c>
      <c r="C28" s="30">
        <v>45876</v>
      </c>
      <c r="D28" s="19" t="str">
        <f t="shared" si="3"/>
        <v>Aug , 2025</v>
      </c>
      <c r="E28" s="25"/>
      <c r="F28" s="25" t="s">
        <v>88</v>
      </c>
      <c r="G28" s="25" t="s">
        <v>59</v>
      </c>
      <c r="H28" s="25" t="s">
        <v>55</v>
      </c>
      <c r="I28" s="25" t="s">
        <v>56</v>
      </c>
      <c r="J28" s="25" t="s">
        <v>89</v>
      </c>
      <c r="K28" s="25" t="s">
        <v>7</v>
      </c>
      <c r="L28" s="26">
        <v>350</v>
      </c>
      <c r="M28" s="26">
        <v>0</v>
      </c>
      <c r="N28" s="21">
        <f t="shared" si="1"/>
        <v>350</v>
      </c>
      <c r="O28" s="26">
        <v>0</v>
      </c>
      <c r="P28" s="26">
        <v>0</v>
      </c>
      <c r="Q28" s="26"/>
      <c r="R28" s="28">
        <f t="shared" si="2"/>
        <v>350</v>
      </c>
      <c r="S28" s="27">
        <v>350</v>
      </c>
      <c r="T28" s="24">
        <f t="shared" si="4"/>
        <v>0</v>
      </c>
      <c r="U28" s="25"/>
      <c r="V28" s="69"/>
      <c r="W28" s="69"/>
      <c r="X28" s="69"/>
    </row>
    <row r="29" spans="1:24" x14ac:dyDescent="0.3">
      <c r="A29" s="25">
        <v>27</v>
      </c>
      <c r="B29" s="30">
        <v>45877</v>
      </c>
      <c r="C29" s="30">
        <v>45877</v>
      </c>
      <c r="D29" s="19" t="str">
        <f t="shared" si="3"/>
        <v>Aug , 2025</v>
      </c>
      <c r="E29" s="25"/>
      <c r="F29" s="25" t="s">
        <v>90</v>
      </c>
      <c r="G29" s="25" t="s">
        <v>59</v>
      </c>
      <c r="H29" s="25" t="s">
        <v>55</v>
      </c>
      <c r="I29" s="25" t="s">
        <v>56</v>
      </c>
      <c r="J29" s="17" t="s">
        <v>57</v>
      </c>
      <c r="K29" s="17" t="s">
        <v>2</v>
      </c>
      <c r="L29" s="26">
        <v>2900</v>
      </c>
      <c r="M29" s="26">
        <v>0</v>
      </c>
      <c r="N29" s="21">
        <f t="shared" si="1"/>
        <v>2900</v>
      </c>
      <c r="O29" s="26">
        <v>0</v>
      </c>
      <c r="P29" s="26">
        <v>0</v>
      </c>
      <c r="Q29" s="26"/>
      <c r="R29" s="28">
        <f t="shared" si="2"/>
        <v>2900</v>
      </c>
      <c r="S29" s="27">
        <v>2900</v>
      </c>
      <c r="T29" s="24">
        <f t="shared" si="4"/>
        <v>0</v>
      </c>
      <c r="U29" s="25"/>
      <c r="V29" s="69"/>
      <c r="W29" s="69"/>
      <c r="X29" s="69"/>
    </row>
    <row r="30" spans="1:24" x14ac:dyDescent="0.3">
      <c r="A30" s="17">
        <v>28</v>
      </c>
      <c r="B30" s="30">
        <v>45877</v>
      </c>
      <c r="C30" s="30">
        <v>45877</v>
      </c>
      <c r="D30" s="19" t="str">
        <f t="shared" si="3"/>
        <v>Aug , 2025</v>
      </c>
      <c r="E30" s="25"/>
      <c r="F30" s="25" t="s">
        <v>91</v>
      </c>
      <c r="G30" s="25" t="s">
        <v>59</v>
      </c>
      <c r="H30" s="25" t="s">
        <v>55</v>
      </c>
      <c r="I30" s="25" t="s">
        <v>56</v>
      </c>
      <c r="J30" s="25" t="s">
        <v>92</v>
      </c>
      <c r="K30" s="25" t="s">
        <v>12</v>
      </c>
      <c r="L30" s="26">
        <v>2600</v>
      </c>
      <c r="M30" s="26">
        <v>0</v>
      </c>
      <c r="N30" s="21">
        <f t="shared" si="1"/>
        <v>2600</v>
      </c>
      <c r="O30" s="26">
        <v>0</v>
      </c>
      <c r="P30" s="26">
        <v>0</v>
      </c>
      <c r="Q30" s="26"/>
      <c r="R30" s="28">
        <f t="shared" si="2"/>
        <v>2600</v>
      </c>
      <c r="S30" s="27">
        <v>2600</v>
      </c>
      <c r="T30" s="24">
        <f t="shared" si="4"/>
        <v>0</v>
      </c>
      <c r="U30" s="25"/>
      <c r="V30" s="69"/>
      <c r="W30" s="69"/>
      <c r="X30" s="69"/>
    </row>
    <row r="31" spans="1:24" x14ac:dyDescent="0.3">
      <c r="A31" s="17">
        <v>29</v>
      </c>
      <c r="B31" s="30">
        <v>45869</v>
      </c>
      <c r="C31" s="30">
        <v>45878</v>
      </c>
      <c r="D31" s="19" t="str">
        <f t="shared" si="3"/>
        <v>Jul , 2025</v>
      </c>
      <c r="E31" s="32"/>
      <c r="F31" s="32" t="s">
        <v>11</v>
      </c>
      <c r="G31" s="32" t="s">
        <v>70</v>
      </c>
      <c r="H31" s="25" t="s">
        <v>55</v>
      </c>
      <c r="I31" s="25" t="s">
        <v>56</v>
      </c>
      <c r="J31" s="32" t="s">
        <v>93</v>
      </c>
      <c r="K31" s="32" t="s">
        <v>11</v>
      </c>
      <c r="L31" s="33">
        <v>28903.23</v>
      </c>
      <c r="M31" s="34">
        <v>0</v>
      </c>
      <c r="N31" s="35">
        <f t="shared" si="1"/>
        <v>28903.23</v>
      </c>
      <c r="O31" s="34"/>
      <c r="P31" s="34">
        <v>1554.81</v>
      </c>
      <c r="Q31" s="34">
        <v>0</v>
      </c>
      <c r="R31" s="36">
        <f t="shared" si="2"/>
        <v>27348.42</v>
      </c>
      <c r="S31" s="37">
        <v>27348.74</v>
      </c>
      <c r="T31" s="38">
        <f t="shared" si="4"/>
        <v>-0.32000000000334694</v>
      </c>
      <c r="U31" s="32"/>
      <c r="V31" s="69"/>
      <c r="W31" s="69"/>
      <c r="X31" s="69"/>
    </row>
    <row r="32" spans="1:24" x14ac:dyDescent="0.3">
      <c r="A32" s="25">
        <v>30</v>
      </c>
      <c r="B32" s="30">
        <v>45879</v>
      </c>
      <c r="C32" s="30">
        <v>45879</v>
      </c>
      <c r="D32" s="19" t="str">
        <f t="shared" si="3"/>
        <v>Aug , 2025</v>
      </c>
      <c r="E32" s="25"/>
      <c r="F32" s="25" t="s">
        <v>90</v>
      </c>
      <c r="G32" s="25" t="s">
        <v>59</v>
      </c>
      <c r="H32" s="25" t="s">
        <v>55</v>
      </c>
      <c r="I32" s="25" t="s">
        <v>56</v>
      </c>
      <c r="J32" s="17" t="s">
        <v>57</v>
      </c>
      <c r="K32" s="17" t="s">
        <v>2</v>
      </c>
      <c r="L32" s="26">
        <v>3000</v>
      </c>
      <c r="M32" s="26">
        <v>0</v>
      </c>
      <c r="N32" s="21">
        <f t="shared" si="1"/>
        <v>3000</v>
      </c>
      <c r="O32" s="26">
        <v>0</v>
      </c>
      <c r="P32" s="26">
        <v>0</v>
      </c>
      <c r="Q32" s="26"/>
      <c r="R32" s="28">
        <f t="shared" si="2"/>
        <v>3000</v>
      </c>
      <c r="S32" s="27">
        <v>3000</v>
      </c>
      <c r="T32" s="24">
        <f t="shared" si="4"/>
        <v>0</v>
      </c>
      <c r="U32" s="25"/>
      <c r="V32" s="69"/>
      <c r="W32" s="69"/>
      <c r="X32" s="69"/>
    </row>
    <row r="33" spans="1:24" x14ac:dyDescent="0.3">
      <c r="A33" s="17">
        <v>31</v>
      </c>
      <c r="B33" s="30">
        <v>45879</v>
      </c>
      <c r="C33" s="30">
        <v>45879</v>
      </c>
      <c r="D33" s="19" t="str">
        <f t="shared" si="3"/>
        <v>Aug , 2025</v>
      </c>
      <c r="E33" s="25"/>
      <c r="F33" s="25" t="s">
        <v>94</v>
      </c>
      <c r="G33" s="25" t="s">
        <v>59</v>
      </c>
      <c r="H33" s="25" t="s">
        <v>55</v>
      </c>
      <c r="I33" s="25" t="s">
        <v>56</v>
      </c>
      <c r="J33" s="25" t="s">
        <v>95</v>
      </c>
      <c r="K33" s="17" t="s">
        <v>2</v>
      </c>
      <c r="L33" s="26">
        <v>520</v>
      </c>
      <c r="M33" s="26">
        <v>0</v>
      </c>
      <c r="N33" s="21">
        <f t="shared" si="1"/>
        <v>520</v>
      </c>
      <c r="O33" s="26">
        <v>0</v>
      </c>
      <c r="P33" s="26">
        <v>0</v>
      </c>
      <c r="Q33" s="26"/>
      <c r="R33" s="28">
        <f t="shared" si="2"/>
        <v>520</v>
      </c>
      <c r="S33" s="27">
        <v>520</v>
      </c>
      <c r="T33" s="24">
        <f t="shared" si="4"/>
        <v>0</v>
      </c>
      <c r="U33" s="25"/>
      <c r="V33" s="69"/>
      <c r="W33" s="69"/>
      <c r="X33" s="69"/>
    </row>
    <row r="34" spans="1:24" x14ac:dyDescent="0.3">
      <c r="A34" s="17">
        <v>32</v>
      </c>
      <c r="B34" s="30">
        <v>45880</v>
      </c>
      <c r="C34" s="30">
        <v>45880</v>
      </c>
      <c r="D34" s="19" t="str">
        <f t="shared" si="3"/>
        <v>Aug , 2025</v>
      </c>
      <c r="E34" s="25"/>
      <c r="F34" s="25" t="s">
        <v>53</v>
      </c>
      <c r="G34" s="25" t="s">
        <v>59</v>
      </c>
      <c r="H34" s="25" t="s">
        <v>55</v>
      </c>
      <c r="I34" s="25" t="s">
        <v>56</v>
      </c>
      <c r="J34" s="17" t="s">
        <v>57</v>
      </c>
      <c r="K34" s="17" t="s">
        <v>2</v>
      </c>
      <c r="L34" s="26">
        <v>3000</v>
      </c>
      <c r="M34" s="26">
        <v>0</v>
      </c>
      <c r="N34" s="21">
        <f t="shared" si="1"/>
        <v>3000</v>
      </c>
      <c r="O34" s="26">
        <v>0</v>
      </c>
      <c r="P34" s="26">
        <v>0</v>
      </c>
      <c r="Q34" s="26"/>
      <c r="R34" s="28">
        <f t="shared" si="2"/>
        <v>3000</v>
      </c>
      <c r="S34" s="27">
        <v>3000</v>
      </c>
      <c r="T34" s="24">
        <f t="shared" si="4"/>
        <v>0</v>
      </c>
      <c r="U34" s="25"/>
      <c r="V34" s="69"/>
      <c r="W34" s="69"/>
      <c r="X34" s="69"/>
    </row>
    <row r="35" spans="1:24" x14ac:dyDescent="0.3">
      <c r="A35" s="25">
        <v>33</v>
      </c>
      <c r="B35" s="30">
        <v>45881</v>
      </c>
      <c r="C35" s="30">
        <v>45881</v>
      </c>
      <c r="D35" s="19" t="str">
        <f t="shared" si="3"/>
        <v>Aug , 2025</v>
      </c>
      <c r="E35" s="25"/>
      <c r="F35" s="17" t="s">
        <v>96</v>
      </c>
      <c r="G35" s="25" t="s">
        <v>59</v>
      </c>
      <c r="H35" s="25" t="s">
        <v>55</v>
      </c>
      <c r="I35" s="25" t="s">
        <v>56</v>
      </c>
      <c r="J35" s="17" t="s">
        <v>57</v>
      </c>
      <c r="K35" s="17" t="s">
        <v>2</v>
      </c>
      <c r="L35" s="26">
        <v>1500</v>
      </c>
      <c r="M35" s="26">
        <v>0</v>
      </c>
      <c r="N35" s="21">
        <f t="shared" si="1"/>
        <v>1500</v>
      </c>
      <c r="O35" s="26">
        <v>0</v>
      </c>
      <c r="P35" s="26">
        <v>0</v>
      </c>
      <c r="Q35" s="26"/>
      <c r="R35" s="28">
        <f t="shared" si="2"/>
        <v>1500</v>
      </c>
      <c r="S35" s="27">
        <v>1500</v>
      </c>
      <c r="T35" s="24">
        <f t="shared" si="4"/>
        <v>0</v>
      </c>
      <c r="U35" s="25"/>
      <c r="V35" s="69"/>
      <c r="W35" s="69"/>
      <c r="X35" s="69"/>
    </row>
    <row r="36" spans="1:24" x14ac:dyDescent="0.3">
      <c r="A36" s="17">
        <v>34</v>
      </c>
      <c r="B36" s="30">
        <v>45881</v>
      </c>
      <c r="C36" s="30">
        <v>45881</v>
      </c>
      <c r="D36" s="19" t="str">
        <f t="shared" si="3"/>
        <v>Aug , 2025</v>
      </c>
      <c r="E36" s="25">
        <v>50500132</v>
      </c>
      <c r="F36" s="17" t="s">
        <v>97</v>
      </c>
      <c r="G36" s="25" t="s">
        <v>70</v>
      </c>
      <c r="H36" s="25" t="s">
        <v>55</v>
      </c>
      <c r="I36" s="25" t="s">
        <v>56</v>
      </c>
      <c r="J36" s="17" t="s">
        <v>98</v>
      </c>
      <c r="K36" s="25" t="s">
        <v>3</v>
      </c>
      <c r="L36" s="26">
        <v>267500</v>
      </c>
      <c r="M36" s="26">
        <f>L36*18%</f>
        <v>48150</v>
      </c>
      <c r="N36" s="21">
        <f t="shared" si="1"/>
        <v>315650</v>
      </c>
      <c r="O36" s="26">
        <f>L36*2%</f>
        <v>5350</v>
      </c>
      <c r="P36" s="26">
        <v>0</v>
      </c>
      <c r="Q36" s="26"/>
      <c r="R36" s="28">
        <f>N36-O36-P36-Q36</f>
        <v>310300</v>
      </c>
      <c r="S36" s="27">
        <v>0</v>
      </c>
      <c r="T36" s="24">
        <f t="shared" si="4"/>
        <v>310300</v>
      </c>
      <c r="U36" s="25"/>
      <c r="V36" s="69"/>
      <c r="W36" s="69"/>
      <c r="X36" s="69"/>
    </row>
    <row r="37" spans="1:24" x14ac:dyDescent="0.3">
      <c r="A37" s="17">
        <v>35</v>
      </c>
      <c r="B37" s="40">
        <v>45882</v>
      </c>
      <c r="C37" s="40">
        <v>45882</v>
      </c>
      <c r="D37" s="19" t="str">
        <f t="shared" si="3"/>
        <v>Aug , 2025</v>
      </c>
      <c r="E37" s="39"/>
      <c r="F37" s="41" t="s">
        <v>96</v>
      </c>
      <c r="G37" s="39" t="s">
        <v>59</v>
      </c>
      <c r="H37" s="39" t="s">
        <v>55</v>
      </c>
      <c r="I37" s="39" t="s">
        <v>56</v>
      </c>
      <c r="J37" s="41" t="s">
        <v>57</v>
      </c>
      <c r="K37" s="17" t="s">
        <v>2</v>
      </c>
      <c r="L37" s="42">
        <v>3000</v>
      </c>
      <c r="M37" s="42">
        <v>0</v>
      </c>
      <c r="N37" s="43">
        <f t="shared" si="1"/>
        <v>3000</v>
      </c>
      <c r="O37" s="42">
        <v>0</v>
      </c>
      <c r="P37" s="42">
        <v>0</v>
      </c>
      <c r="Q37" s="42"/>
      <c r="R37" s="44">
        <f t="shared" si="2"/>
        <v>3000</v>
      </c>
      <c r="S37" s="45">
        <v>3000</v>
      </c>
      <c r="T37" s="46">
        <f t="shared" si="4"/>
        <v>0</v>
      </c>
      <c r="U37" s="39"/>
      <c r="V37" s="72"/>
      <c r="W37" s="72"/>
      <c r="X37" s="72"/>
    </row>
    <row r="38" spans="1:24" x14ac:dyDescent="0.3">
      <c r="A38" s="25">
        <v>36</v>
      </c>
      <c r="B38" s="40">
        <v>45882</v>
      </c>
      <c r="C38" s="40">
        <v>45882</v>
      </c>
      <c r="D38" s="19" t="str">
        <f t="shared" si="3"/>
        <v>Aug , 2025</v>
      </c>
      <c r="E38" s="25"/>
      <c r="F38" s="25" t="s">
        <v>88</v>
      </c>
      <c r="G38" s="39" t="s">
        <v>59</v>
      </c>
      <c r="H38" s="25" t="s">
        <v>55</v>
      </c>
      <c r="I38" s="25" t="s">
        <v>56</v>
      </c>
      <c r="J38" s="25" t="s">
        <v>99</v>
      </c>
      <c r="K38" s="25" t="s">
        <v>7</v>
      </c>
      <c r="L38" s="26">
        <v>710</v>
      </c>
      <c r="M38" s="26">
        <v>0</v>
      </c>
      <c r="N38" s="21">
        <f t="shared" si="1"/>
        <v>710</v>
      </c>
      <c r="O38" s="26">
        <v>0</v>
      </c>
      <c r="P38" s="26">
        <v>0</v>
      </c>
      <c r="Q38" s="26"/>
      <c r="R38" s="28">
        <f t="shared" si="2"/>
        <v>710</v>
      </c>
      <c r="S38" s="27">
        <v>710</v>
      </c>
      <c r="T38" s="24">
        <f t="shared" si="4"/>
        <v>0</v>
      </c>
      <c r="U38" s="25"/>
      <c r="V38" s="69"/>
      <c r="W38" s="69"/>
      <c r="X38" s="69"/>
    </row>
    <row r="39" spans="1:24" x14ac:dyDescent="0.3">
      <c r="A39" s="17">
        <v>37</v>
      </c>
      <c r="B39" s="40">
        <v>45882</v>
      </c>
      <c r="C39" s="40">
        <v>45882</v>
      </c>
      <c r="D39" s="19" t="str">
        <f t="shared" si="3"/>
        <v>Aug , 2025</v>
      </c>
      <c r="E39" s="25"/>
      <c r="F39" s="25" t="s">
        <v>53</v>
      </c>
      <c r="G39" s="39" t="s">
        <v>59</v>
      </c>
      <c r="H39" s="25" t="s">
        <v>55</v>
      </c>
      <c r="I39" s="25" t="s">
        <v>56</v>
      </c>
      <c r="J39" s="25" t="s">
        <v>95</v>
      </c>
      <c r="K39" s="17" t="s">
        <v>2</v>
      </c>
      <c r="L39" s="26">
        <v>520</v>
      </c>
      <c r="M39" s="26">
        <v>0</v>
      </c>
      <c r="N39" s="21">
        <f t="shared" si="1"/>
        <v>520</v>
      </c>
      <c r="O39" s="26">
        <v>0</v>
      </c>
      <c r="P39" s="26">
        <v>0</v>
      </c>
      <c r="Q39" s="26"/>
      <c r="R39" s="28">
        <f t="shared" si="2"/>
        <v>520</v>
      </c>
      <c r="S39" s="27">
        <v>520</v>
      </c>
      <c r="T39" s="24">
        <f t="shared" si="4"/>
        <v>0</v>
      </c>
      <c r="U39" s="25"/>
      <c r="V39" s="69"/>
      <c r="W39" s="69"/>
      <c r="X39" s="69"/>
    </row>
    <row r="40" spans="1:24" x14ac:dyDescent="0.3">
      <c r="A40" s="17">
        <v>38</v>
      </c>
      <c r="B40" s="30">
        <v>45883</v>
      </c>
      <c r="C40" s="30">
        <v>45883</v>
      </c>
      <c r="D40" s="19" t="str">
        <f t="shared" si="3"/>
        <v>Aug , 2025</v>
      </c>
      <c r="E40" s="25" t="s">
        <v>61</v>
      </c>
      <c r="F40" s="25" t="s">
        <v>90</v>
      </c>
      <c r="G40" s="25" t="s">
        <v>100</v>
      </c>
      <c r="H40" s="25" t="s">
        <v>55</v>
      </c>
      <c r="I40" s="25" t="s">
        <v>56</v>
      </c>
      <c r="J40" s="25" t="s">
        <v>57</v>
      </c>
      <c r="K40" s="17" t="s">
        <v>2</v>
      </c>
      <c r="L40" s="26">
        <v>3000</v>
      </c>
      <c r="M40" s="26">
        <v>0</v>
      </c>
      <c r="N40" s="21">
        <f t="shared" si="1"/>
        <v>3000</v>
      </c>
      <c r="O40" s="26">
        <v>0</v>
      </c>
      <c r="P40" s="26">
        <v>0</v>
      </c>
      <c r="Q40" s="26"/>
      <c r="R40" s="28">
        <f t="shared" si="2"/>
        <v>3000</v>
      </c>
      <c r="S40" s="27">
        <v>3000</v>
      </c>
      <c r="T40" s="24">
        <f t="shared" si="4"/>
        <v>0</v>
      </c>
      <c r="U40" s="25"/>
      <c r="V40" s="69"/>
      <c r="W40" s="69"/>
      <c r="X40" s="69"/>
    </row>
    <row r="41" spans="1:24" x14ac:dyDescent="0.3">
      <c r="A41" s="25">
        <v>39</v>
      </c>
      <c r="B41" s="30">
        <v>45884</v>
      </c>
      <c r="C41" s="30">
        <v>45884</v>
      </c>
      <c r="D41" s="19" t="str">
        <f t="shared" si="3"/>
        <v>Aug , 2025</v>
      </c>
      <c r="E41" s="25"/>
      <c r="F41" s="25" t="s">
        <v>101</v>
      </c>
      <c r="G41" s="25" t="s">
        <v>59</v>
      </c>
      <c r="H41" s="25" t="s">
        <v>55</v>
      </c>
      <c r="I41" s="25" t="s">
        <v>56</v>
      </c>
      <c r="J41" s="25" t="s">
        <v>102</v>
      </c>
      <c r="K41" s="17" t="s">
        <v>2</v>
      </c>
      <c r="L41" s="26">
        <v>500</v>
      </c>
      <c r="M41" s="26">
        <v>0</v>
      </c>
      <c r="N41" s="21">
        <f t="shared" si="1"/>
        <v>500</v>
      </c>
      <c r="O41" s="26">
        <v>0</v>
      </c>
      <c r="P41" s="26">
        <v>0</v>
      </c>
      <c r="Q41" s="26"/>
      <c r="R41" s="28">
        <f t="shared" si="2"/>
        <v>500</v>
      </c>
      <c r="S41" s="27">
        <v>500</v>
      </c>
      <c r="T41" s="24">
        <f t="shared" si="4"/>
        <v>0</v>
      </c>
      <c r="U41" s="25"/>
      <c r="V41" s="69"/>
      <c r="W41" s="69"/>
      <c r="X41" s="69"/>
    </row>
    <row r="42" spans="1:24" x14ac:dyDescent="0.3">
      <c r="A42" s="17">
        <v>40</v>
      </c>
      <c r="B42" s="30">
        <v>45887</v>
      </c>
      <c r="C42" s="30">
        <v>45887</v>
      </c>
      <c r="D42" s="19" t="str">
        <f t="shared" si="3"/>
        <v>Aug , 2025</v>
      </c>
      <c r="E42" s="25"/>
      <c r="F42" s="25" t="s">
        <v>103</v>
      </c>
      <c r="G42" s="25" t="s">
        <v>79</v>
      </c>
      <c r="H42" s="25" t="s">
        <v>55</v>
      </c>
      <c r="I42" s="25" t="s">
        <v>56</v>
      </c>
      <c r="J42" s="25" t="s">
        <v>104</v>
      </c>
      <c r="K42" s="25" t="s">
        <v>15</v>
      </c>
      <c r="L42" s="26">
        <v>3000</v>
      </c>
      <c r="M42" s="26">
        <v>0</v>
      </c>
      <c r="N42" s="21">
        <f t="shared" si="1"/>
        <v>3000</v>
      </c>
      <c r="O42" s="26">
        <v>0</v>
      </c>
      <c r="P42" s="26">
        <v>0</v>
      </c>
      <c r="Q42" s="26"/>
      <c r="R42" s="28">
        <f t="shared" si="2"/>
        <v>3000</v>
      </c>
      <c r="S42" s="27">
        <v>3000</v>
      </c>
      <c r="T42" s="24">
        <f t="shared" si="4"/>
        <v>0</v>
      </c>
      <c r="U42" s="25"/>
      <c r="V42" s="69"/>
      <c r="W42" s="69"/>
      <c r="X42" s="69"/>
    </row>
    <row r="43" spans="1:24" x14ac:dyDescent="0.3">
      <c r="A43" s="17">
        <v>41</v>
      </c>
      <c r="B43" s="30">
        <v>45890</v>
      </c>
      <c r="C43" s="30">
        <v>45890</v>
      </c>
      <c r="D43" s="19" t="str">
        <f t="shared" si="3"/>
        <v>Aug , 2025</v>
      </c>
      <c r="E43" s="25"/>
      <c r="F43" s="25" t="s">
        <v>94</v>
      </c>
      <c r="G43" s="25" t="s">
        <v>59</v>
      </c>
      <c r="H43" s="25" t="s">
        <v>55</v>
      </c>
      <c r="I43" s="25" t="s">
        <v>56</v>
      </c>
      <c r="J43" s="25" t="s">
        <v>105</v>
      </c>
      <c r="K43" s="17" t="s">
        <v>2</v>
      </c>
      <c r="L43" s="26">
        <v>210</v>
      </c>
      <c r="M43" s="26">
        <v>0</v>
      </c>
      <c r="N43" s="35">
        <f t="shared" si="1"/>
        <v>210</v>
      </c>
      <c r="O43" s="26">
        <v>0</v>
      </c>
      <c r="P43" s="34">
        <v>0</v>
      </c>
      <c r="Q43" s="26"/>
      <c r="R43" s="36">
        <f t="shared" si="2"/>
        <v>210</v>
      </c>
      <c r="S43" s="27">
        <v>210</v>
      </c>
      <c r="T43" s="38">
        <f t="shared" si="4"/>
        <v>0</v>
      </c>
      <c r="U43" s="25"/>
      <c r="V43" s="69"/>
      <c r="W43" s="69"/>
      <c r="X43" s="69"/>
    </row>
    <row r="44" spans="1:24" x14ac:dyDescent="0.3">
      <c r="A44" s="25">
        <v>42</v>
      </c>
      <c r="B44" s="30">
        <v>45891</v>
      </c>
      <c r="C44" s="30">
        <v>45891</v>
      </c>
      <c r="D44" s="19" t="str">
        <f t="shared" si="3"/>
        <v>Aug , 2025</v>
      </c>
      <c r="E44" s="25" t="s">
        <v>61</v>
      </c>
      <c r="F44" s="25" t="s">
        <v>53</v>
      </c>
      <c r="G44" s="25" t="s">
        <v>59</v>
      </c>
      <c r="H44" s="25" t="s">
        <v>55</v>
      </c>
      <c r="I44" s="25" t="s">
        <v>56</v>
      </c>
      <c r="J44" s="25" t="s">
        <v>106</v>
      </c>
      <c r="K44" s="17" t="s">
        <v>2</v>
      </c>
      <c r="L44" s="26">
        <v>2000</v>
      </c>
      <c r="M44" s="26">
        <v>0</v>
      </c>
      <c r="N44" s="35">
        <f t="shared" si="1"/>
        <v>2000</v>
      </c>
      <c r="O44" s="26">
        <v>0</v>
      </c>
      <c r="P44" s="26">
        <v>0</v>
      </c>
      <c r="Q44" s="26">
        <v>0</v>
      </c>
      <c r="R44" s="36">
        <f t="shared" si="2"/>
        <v>2000</v>
      </c>
      <c r="S44" s="27">
        <v>2000</v>
      </c>
      <c r="T44" s="24">
        <f t="shared" si="4"/>
        <v>0</v>
      </c>
      <c r="U44" s="25"/>
      <c r="V44" s="69"/>
      <c r="W44" s="69"/>
      <c r="X44" s="69"/>
    </row>
    <row r="45" spans="1:24" x14ac:dyDescent="0.3">
      <c r="A45" s="17">
        <v>43</v>
      </c>
      <c r="B45" s="30">
        <v>45892</v>
      </c>
      <c r="C45" s="30">
        <v>45892</v>
      </c>
      <c r="D45" s="19" t="str">
        <f t="shared" si="3"/>
        <v>Aug , 2025</v>
      </c>
      <c r="E45" s="25"/>
      <c r="F45" s="25" t="s">
        <v>53</v>
      </c>
      <c r="G45" s="25" t="s">
        <v>59</v>
      </c>
      <c r="H45" s="25" t="s">
        <v>55</v>
      </c>
      <c r="I45" s="25" t="s">
        <v>56</v>
      </c>
      <c r="J45" s="25" t="s">
        <v>106</v>
      </c>
      <c r="K45" s="17" t="s">
        <v>2</v>
      </c>
      <c r="L45" s="26">
        <v>900</v>
      </c>
      <c r="M45" s="26">
        <v>0</v>
      </c>
      <c r="N45" s="35">
        <f t="shared" si="1"/>
        <v>900</v>
      </c>
      <c r="O45" s="26">
        <v>0</v>
      </c>
      <c r="P45" s="26">
        <v>0</v>
      </c>
      <c r="Q45" s="26">
        <v>0</v>
      </c>
      <c r="R45" s="36">
        <f t="shared" si="2"/>
        <v>900</v>
      </c>
      <c r="S45" s="27">
        <v>900</v>
      </c>
      <c r="T45" s="24">
        <f t="shared" si="4"/>
        <v>0</v>
      </c>
      <c r="U45" s="25"/>
      <c r="V45" s="69"/>
      <c r="W45" s="69"/>
      <c r="X45" s="69"/>
    </row>
    <row r="46" spans="1:24" x14ac:dyDescent="0.3">
      <c r="A46" s="17">
        <v>44</v>
      </c>
      <c r="B46" s="30">
        <v>45892</v>
      </c>
      <c r="C46" s="30">
        <v>45892</v>
      </c>
      <c r="D46" s="19" t="str">
        <f t="shared" si="3"/>
        <v>Aug , 2025</v>
      </c>
      <c r="E46" s="25"/>
      <c r="F46" s="25" t="s">
        <v>53</v>
      </c>
      <c r="G46" s="25" t="s">
        <v>59</v>
      </c>
      <c r="H46" s="25" t="s">
        <v>55</v>
      </c>
      <c r="I46" s="25" t="s">
        <v>56</v>
      </c>
      <c r="J46" s="25" t="s">
        <v>106</v>
      </c>
      <c r="K46" s="17" t="s">
        <v>2</v>
      </c>
      <c r="L46" s="26">
        <v>1500</v>
      </c>
      <c r="M46" s="26">
        <v>0</v>
      </c>
      <c r="N46" s="35">
        <f t="shared" si="1"/>
        <v>1500</v>
      </c>
      <c r="O46" s="26">
        <v>0</v>
      </c>
      <c r="P46" s="26">
        <v>0</v>
      </c>
      <c r="Q46" s="26">
        <v>0</v>
      </c>
      <c r="R46" s="36">
        <f t="shared" si="2"/>
        <v>1500</v>
      </c>
      <c r="S46" s="27">
        <v>1500</v>
      </c>
      <c r="T46" s="24">
        <f t="shared" si="4"/>
        <v>0</v>
      </c>
      <c r="U46" s="25"/>
      <c r="V46" s="69"/>
      <c r="W46" s="69"/>
      <c r="X46" s="69"/>
    </row>
    <row r="47" spans="1:24" x14ac:dyDescent="0.3">
      <c r="A47" s="25">
        <v>45</v>
      </c>
      <c r="B47" s="30">
        <v>45892</v>
      </c>
      <c r="C47" s="30">
        <v>45892</v>
      </c>
      <c r="D47" s="19" t="str">
        <f t="shared" si="3"/>
        <v>Aug , 2025</v>
      </c>
      <c r="E47" s="25"/>
      <c r="F47" s="25" t="s">
        <v>53</v>
      </c>
      <c r="G47" s="25" t="s">
        <v>59</v>
      </c>
      <c r="H47" s="25" t="s">
        <v>55</v>
      </c>
      <c r="I47" s="25" t="s">
        <v>56</v>
      </c>
      <c r="J47" s="25" t="s">
        <v>106</v>
      </c>
      <c r="K47" s="17" t="s">
        <v>2</v>
      </c>
      <c r="L47" s="26">
        <v>2000</v>
      </c>
      <c r="M47" s="26">
        <v>0</v>
      </c>
      <c r="N47" s="35">
        <f t="shared" si="1"/>
        <v>2000</v>
      </c>
      <c r="O47" s="26">
        <v>0</v>
      </c>
      <c r="P47" s="26">
        <v>0</v>
      </c>
      <c r="Q47" s="26">
        <v>0</v>
      </c>
      <c r="R47" s="36">
        <f t="shared" si="2"/>
        <v>2000</v>
      </c>
      <c r="S47" s="27">
        <v>2000</v>
      </c>
      <c r="T47" s="24">
        <f t="shared" si="4"/>
        <v>0</v>
      </c>
      <c r="U47" s="25"/>
      <c r="V47" s="69"/>
      <c r="W47" s="69"/>
      <c r="X47" s="69"/>
    </row>
    <row r="48" spans="1:24" x14ac:dyDescent="0.3">
      <c r="A48" s="17">
        <v>46</v>
      </c>
      <c r="B48" s="30">
        <v>45892</v>
      </c>
      <c r="C48" s="30">
        <v>45892</v>
      </c>
      <c r="D48" s="19" t="str">
        <f t="shared" si="3"/>
        <v>Aug , 2025</v>
      </c>
      <c r="E48" s="25"/>
      <c r="F48" s="25" t="s">
        <v>53</v>
      </c>
      <c r="G48" s="25" t="s">
        <v>59</v>
      </c>
      <c r="H48" s="25" t="s">
        <v>55</v>
      </c>
      <c r="I48" s="25" t="s">
        <v>56</v>
      </c>
      <c r="J48" s="25" t="s">
        <v>95</v>
      </c>
      <c r="K48" s="17" t="s">
        <v>2</v>
      </c>
      <c r="L48" s="26">
        <v>520</v>
      </c>
      <c r="M48" s="26">
        <v>0</v>
      </c>
      <c r="N48" s="35">
        <f t="shared" si="1"/>
        <v>520</v>
      </c>
      <c r="O48" s="26">
        <v>0</v>
      </c>
      <c r="P48" s="26">
        <v>0</v>
      </c>
      <c r="Q48" s="26">
        <v>0</v>
      </c>
      <c r="R48" s="36">
        <f t="shared" si="2"/>
        <v>520</v>
      </c>
      <c r="S48" s="27">
        <v>520</v>
      </c>
      <c r="T48" s="24">
        <f t="shared" si="4"/>
        <v>0</v>
      </c>
      <c r="U48" s="25"/>
      <c r="V48" s="69"/>
      <c r="W48" s="69"/>
      <c r="X48" s="69"/>
    </row>
    <row r="49" spans="1:24" x14ac:dyDescent="0.3">
      <c r="A49" s="17">
        <v>47</v>
      </c>
      <c r="B49" s="30">
        <v>45893</v>
      </c>
      <c r="C49" s="30">
        <v>45893</v>
      </c>
      <c r="D49" s="19" t="str">
        <f t="shared" si="3"/>
        <v>Aug , 2025</v>
      </c>
      <c r="E49" s="25"/>
      <c r="F49" s="25" t="s">
        <v>53</v>
      </c>
      <c r="G49" s="25" t="s">
        <v>59</v>
      </c>
      <c r="H49" s="25" t="s">
        <v>55</v>
      </c>
      <c r="I49" s="25" t="s">
        <v>56</v>
      </c>
      <c r="J49" s="25" t="s">
        <v>106</v>
      </c>
      <c r="K49" s="17" t="s">
        <v>2</v>
      </c>
      <c r="L49" s="26">
        <v>2000</v>
      </c>
      <c r="M49" s="26">
        <v>0</v>
      </c>
      <c r="N49" s="35">
        <f t="shared" si="1"/>
        <v>2000</v>
      </c>
      <c r="O49" s="26">
        <v>0</v>
      </c>
      <c r="P49" s="26">
        <v>0</v>
      </c>
      <c r="Q49" s="26">
        <v>0</v>
      </c>
      <c r="R49" s="36">
        <f t="shared" si="2"/>
        <v>2000</v>
      </c>
      <c r="S49" s="27">
        <v>2000</v>
      </c>
      <c r="T49" s="24">
        <f t="shared" si="4"/>
        <v>0</v>
      </c>
      <c r="U49" s="25"/>
      <c r="V49" s="69"/>
      <c r="W49" s="69"/>
      <c r="X49" s="69"/>
    </row>
    <row r="50" spans="1:24" x14ac:dyDescent="0.3">
      <c r="A50" s="25">
        <v>48</v>
      </c>
      <c r="B50" s="30">
        <v>45898</v>
      </c>
      <c r="C50" s="30">
        <v>45898</v>
      </c>
      <c r="D50" s="19" t="str">
        <f t="shared" si="3"/>
        <v>Aug , 2025</v>
      </c>
      <c r="E50" s="25" t="s">
        <v>61</v>
      </c>
      <c r="F50" s="17" t="s">
        <v>97</v>
      </c>
      <c r="G50" s="25" t="s">
        <v>70</v>
      </c>
      <c r="H50" s="25" t="s">
        <v>55</v>
      </c>
      <c r="I50" s="25" t="s">
        <v>56</v>
      </c>
      <c r="J50" s="25" t="s">
        <v>107</v>
      </c>
      <c r="K50" s="25" t="s">
        <v>3</v>
      </c>
      <c r="L50" s="26">
        <v>0</v>
      </c>
      <c r="M50" s="26">
        <v>0</v>
      </c>
      <c r="N50" s="35">
        <f t="shared" si="1"/>
        <v>0</v>
      </c>
      <c r="O50" s="26">
        <v>0</v>
      </c>
      <c r="P50" s="26">
        <v>0</v>
      </c>
      <c r="Q50" s="26">
        <v>0</v>
      </c>
      <c r="R50" s="36">
        <f t="shared" si="2"/>
        <v>0</v>
      </c>
      <c r="S50" s="27">
        <v>31565</v>
      </c>
      <c r="T50" s="24">
        <f t="shared" si="4"/>
        <v>-31565</v>
      </c>
      <c r="U50" s="25" t="s">
        <v>108</v>
      </c>
      <c r="V50" s="69"/>
      <c r="W50" s="69"/>
      <c r="X50" s="69"/>
    </row>
    <row r="51" spans="1:24" x14ac:dyDescent="0.3">
      <c r="A51" s="17">
        <v>49</v>
      </c>
      <c r="B51" s="30">
        <v>45895</v>
      </c>
      <c r="C51" s="30">
        <v>45895</v>
      </c>
      <c r="D51" s="19" t="str">
        <f t="shared" si="3"/>
        <v>Aug , 2025</v>
      </c>
      <c r="E51" s="25"/>
      <c r="F51" s="25" t="s">
        <v>53</v>
      </c>
      <c r="G51" s="25" t="s">
        <v>59</v>
      </c>
      <c r="H51" s="25" t="s">
        <v>55</v>
      </c>
      <c r="I51" s="25" t="s">
        <v>56</v>
      </c>
      <c r="J51" s="25" t="s">
        <v>106</v>
      </c>
      <c r="K51" s="17" t="s">
        <v>2</v>
      </c>
      <c r="L51" s="26">
        <v>3000</v>
      </c>
      <c r="M51" s="26">
        <v>0</v>
      </c>
      <c r="N51" s="35">
        <f t="shared" si="1"/>
        <v>3000</v>
      </c>
      <c r="O51" s="26">
        <v>0</v>
      </c>
      <c r="P51" s="26">
        <v>0</v>
      </c>
      <c r="Q51" s="26">
        <v>0</v>
      </c>
      <c r="R51" s="36">
        <f t="shared" si="2"/>
        <v>3000</v>
      </c>
      <c r="S51" s="27">
        <v>3000</v>
      </c>
      <c r="T51" s="24">
        <f t="shared" si="4"/>
        <v>0</v>
      </c>
      <c r="U51" s="25"/>
      <c r="V51" s="69"/>
      <c r="W51" s="69"/>
      <c r="X51" s="69"/>
    </row>
    <row r="52" spans="1:24" x14ac:dyDescent="0.3">
      <c r="A52" s="17">
        <v>50</v>
      </c>
      <c r="B52" s="30">
        <v>45898</v>
      </c>
      <c r="C52" s="30">
        <v>45898</v>
      </c>
      <c r="D52" s="19" t="str">
        <f t="shared" si="3"/>
        <v>Aug , 2025</v>
      </c>
      <c r="E52" s="25"/>
      <c r="F52" s="25" t="s">
        <v>109</v>
      </c>
      <c r="G52" s="25" t="s">
        <v>59</v>
      </c>
      <c r="H52" s="25" t="s">
        <v>55</v>
      </c>
      <c r="I52" s="25" t="s">
        <v>56</v>
      </c>
      <c r="J52" s="25" t="s">
        <v>110</v>
      </c>
      <c r="K52" s="25" t="s">
        <v>7</v>
      </c>
      <c r="L52" s="26">
        <v>740</v>
      </c>
      <c r="M52" s="26">
        <v>0</v>
      </c>
      <c r="N52" s="35">
        <f t="shared" si="1"/>
        <v>740</v>
      </c>
      <c r="O52" s="26">
        <v>0</v>
      </c>
      <c r="P52" s="26">
        <v>0</v>
      </c>
      <c r="Q52" s="26">
        <v>0</v>
      </c>
      <c r="R52" s="36">
        <f t="shared" si="2"/>
        <v>740</v>
      </c>
      <c r="S52" s="27">
        <v>740</v>
      </c>
      <c r="T52" s="24">
        <f t="shared" si="4"/>
        <v>0</v>
      </c>
      <c r="U52" s="25"/>
      <c r="V52" s="69"/>
      <c r="W52" s="69"/>
      <c r="X52" s="69"/>
    </row>
    <row r="53" spans="1:24" x14ac:dyDescent="0.3">
      <c r="A53" s="25">
        <v>51</v>
      </c>
      <c r="B53" s="30">
        <v>45902</v>
      </c>
      <c r="C53" s="31" t="s">
        <v>111</v>
      </c>
      <c r="D53" s="19" t="str">
        <f t="shared" si="3"/>
        <v>Sep , 2025</v>
      </c>
      <c r="E53" s="25"/>
      <c r="F53" s="25" t="s">
        <v>94</v>
      </c>
      <c r="G53" s="25" t="s">
        <v>59</v>
      </c>
      <c r="H53" s="25" t="s">
        <v>55</v>
      </c>
      <c r="I53" s="25" t="s">
        <v>56</v>
      </c>
      <c r="J53" s="25" t="s">
        <v>95</v>
      </c>
      <c r="K53" s="17" t="s">
        <v>2</v>
      </c>
      <c r="L53" s="26">
        <v>520</v>
      </c>
      <c r="M53" s="26">
        <v>0</v>
      </c>
      <c r="N53" s="35">
        <f t="shared" si="1"/>
        <v>520</v>
      </c>
      <c r="O53" s="26">
        <v>0</v>
      </c>
      <c r="P53" s="26">
        <v>0</v>
      </c>
      <c r="Q53" s="26">
        <v>0</v>
      </c>
      <c r="R53" s="36">
        <f t="shared" si="2"/>
        <v>520</v>
      </c>
      <c r="S53" s="27">
        <v>520</v>
      </c>
      <c r="T53" s="24">
        <f t="shared" si="4"/>
        <v>0</v>
      </c>
      <c r="U53" s="25"/>
      <c r="V53" s="69"/>
      <c r="W53" s="69"/>
      <c r="X53" s="69"/>
    </row>
    <row r="54" spans="1:24" x14ac:dyDescent="0.3">
      <c r="A54" s="17">
        <v>52</v>
      </c>
      <c r="B54" s="30">
        <v>45901</v>
      </c>
      <c r="C54" s="30">
        <v>45901</v>
      </c>
      <c r="D54" s="19" t="str">
        <f t="shared" si="3"/>
        <v>Sep , 2025</v>
      </c>
      <c r="E54" s="25"/>
      <c r="F54" s="25" t="s">
        <v>112</v>
      </c>
      <c r="G54" s="25" t="s">
        <v>59</v>
      </c>
      <c r="H54" s="25" t="s">
        <v>55</v>
      </c>
      <c r="I54" s="25" t="s">
        <v>56</v>
      </c>
      <c r="J54" s="25" t="s">
        <v>113</v>
      </c>
      <c r="K54" s="25" t="s">
        <v>9</v>
      </c>
      <c r="L54" s="26">
        <v>1950</v>
      </c>
      <c r="M54" s="26">
        <v>0</v>
      </c>
      <c r="N54" s="35">
        <f t="shared" si="1"/>
        <v>1950</v>
      </c>
      <c r="O54" s="26">
        <v>0</v>
      </c>
      <c r="P54" s="26">
        <v>0</v>
      </c>
      <c r="Q54" s="26">
        <v>0</v>
      </c>
      <c r="R54" s="36">
        <f t="shared" si="2"/>
        <v>1950</v>
      </c>
      <c r="S54" s="27">
        <v>1950</v>
      </c>
      <c r="T54" s="24">
        <f t="shared" si="4"/>
        <v>0</v>
      </c>
      <c r="U54" s="25"/>
      <c r="V54" s="69"/>
      <c r="W54" s="69"/>
      <c r="X54" s="69"/>
    </row>
    <row r="55" spans="1:24" x14ac:dyDescent="0.3">
      <c r="A55" s="17">
        <v>53</v>
      </c>
      <c r="B55" s="30">
        <v>45901</v>
      </c>
      <c r="C55" s="30">
        <v>45901</v>
      </c>
      <c r="D55" s="19" t="str">
        <f t="shared" si="3"/>
        <v>Sep , 2025</v>
      </c>
      <c r="E55" s="25"/>
      <c r="F55" s="25" t="s">
        <v>53</v>
      </c>
      <c r="G55" s="25" t="s">
        <v>59</v>
      </c>
      <c r="H55" s="25" t="s">
        <v>55</v>
      </c>
      <c r="I55" s="25" t="s">
        <v>56</v>
      </c>
      <c r="J55" s="25" t="s">
        <v>106</v>
      </c>
      <c r="K55" s="17" t="s">
        <v>2</v>
      </c>
      <c r="L55" s="26">
        <v>2000</v>
      </c>
      <c r="M55" s="26">
        <v>0</v>
      </c>
      <c r="N55" s="35">
        <f t="shared" si="1"/>
        <v>2000</v>
      </c>
      <c r="O55" s="26">
        <v>0</v>
      </c>
      <c r="P55" s="26">
        <v>0</v>
      </c>
      <c r="Q55" s="26">
        <v>0</v>
      </c>
      <c r="R55" s="36">
        <f t="shared" si="2"/>
        <v>2000</v>
      </c>
      <c r="S55" s="27">
        <v>2000</v>
      </c>
      <c r="T55" s="24">
        <f t="shared" si="4"/>
        <v>0</v>
      </c>
      <c r="U55" s="25"/>
      <c r="V55" s="69"/>
      <c r="W55" s="69"/>
      <c r="X55" s="69"/>
    </row>
    <row r="56" spans="1:24" x14ac:dyDescent="0.3">
      <c r="A56" s="25">
        <v>54</v>
      </c>
      <c r="B56" s="30">
        <v>45895</v>
      </c>
      <c r="C56" s="30">
        <v>45903</v>
      </c>
      <c r="D56" s="19" t="str">
        <f t="shared" si="3"/>
        <v>Aug , 2025</v>
      </c>
      <c r="E56" s="25"/>
      <c r="F56" s="25" t="s">
        <v>81</v>
      </c>
      <c r="G56" s="25" t="s">
        <v>79</v>
      </c>
      <c r="H56" s="25" t="s">
        <v>55</v>
      </c>
      <c r="I56" s="25" t="s">
        <v>56</v>
      </c>
      <c r="J56" s="25" t="s">
        <v>114</v>
      </c>
      <c r="K56" s="25" t="s">
        <v>5</v>
      </c>
      <c r="L56" s="26">
        <v>61693</v>
      </c>
      <c r="M56" s="26">
        <v>0</v>
      </c>
      <c r="N56" s="35">
        <f t="shared" si="1"/>
        <v>61693</v>
      </c>
      <c r="O56" s="26">
        <v>1102</v>
      </c>
      <c r="P56" s="26">
        <v>0</v>
      </c>
      <c r="Q56" s="26">
        <v>0</v>
      </c>
      <c r="R56" s="36">
        <f t="shared" si="2"/>
        <v>60591</v>
      </c>
      <c r="S56" s="27">
        <v>10000</v>
      </c>
      <c r="T56" s="24">
        <f t="shared" si="4"/>
        <v>50591</v>
      </c>
      <c r="U56" s="25"/>
      <c r="V56" s="69"/>
      <c r="W56" s="69"/>
      <c r="X56" s="69"/>
    </row>
    <row r="57" spans="1:24" x14ac:dyDescent="0.3">
      <c r="A57" s="17">
        <v>55</v>
      </c>
      <c r="B57" s="30">
        <v>45838</v>
      </c>
      <c r="C57" s="30">
        <v>45903</v>
      </c>
      <c r="D57" s="19" t="str">
        <f t="shared" si="3"/>
        <v>Jun , 2025</v>
      </c>
      <c r="E57" s="25"/>
      <c r="F57" s="25" t="s">
        <v>115</v>
      </c>
      <c r="G57" s="25" t="s">
        <v>79</v>
      </c>
      <c r="H57" s="25" t="s">
        <v>55</v>
      </c>
      <c r="I57" s="25" t="s">
        <v>56</v>
      </c>
      <c r="J57" s="25" t="s">
        <v>116</v>
      </c>
      <c r="K57" s="25" t="s">
        <v>13</v>
      </c>
      <c r="L57" s="26">
        <v>17237.150000000001</v>
      </c>
      <c r="M57" s="26">
        <v>0</v>
      </c>
      <c r="N57" s="35">
        <f t="shared" si="1"/>
        <v>17237.150000000001</v>
      </c>
      <c r="O57" s="26">
        <v>0</v>
      </c>
      <c r="P57" s="26">
        <v>0</v>
      </c>
      <c r="Q57" s="26">
        <v>0</v>
      </c>
      <c r="R57" s="36">
        <f t="shared" si="2"/>
        <v>17237.150000000001</v>
      </c>
      <c r="S57" s="27">
        <v>17237</v>
      </c>
      <c r="T57" s="24">
        <f t="shared" si="4"/>
        <v>0.15000000000145519</v>
      </c>
      <c r="U57" s="25"/>
      <c r="V57" s="69"/>
      <c r="W57" s="69"/>
      <c r="X57" s="69"/>
    </row>
    <row r="58" spans="1:24" x14ac:dyDescent="0.3">
      <c r="A58" s="17">
        <v>56</v>
      </c>
      <c r="B58" s="30">
        <v>45900</v>
      </c>
      <c r="C58" s="30">
        <v>45910</v>
      </c>
      <c r="D58" s="19" t="str">
        <f t="shared" si="3"/>
        <v>Aug , 2025</v>
      </c>
      <c r="E58" s="25"/>
      <c r="F58" s="25" t="s">
        <v>81</v>
      </c>
      <c r="G58" s="25" t="s">
        <v>79</v>
      </c>
      <c r="H58" s="25" t="s">
        <v>55</v>
      </c>
      <c r="I58" s="25" t="s">
        <v>56</v>
      </c>
      <c r="J58" s="25" t="s">
        <v>117</v>
      </c>
      <c r="K58" s="25" t="s">
        <v>5</v>
      </c>
      <c r="L58" s="26">
        <v>0</v>
      </c>
      <c r="M58" s="26">
        <v>0</v>
      </c>
      <c r="N58" s="35">
        <f t="shared" si="1"/>
        <v>0</v>
      </c>
      <c r="O58" s="26">
        <v>0</v>
      </c>
      <c r="P58" s="26">
        <v>0</v>
      </c>
      <c r="Q58" s="26">
        <v>0</v>
      </c>
      <c r="R58" s="36">
        <f t="shared" si="2"/>
        <v>0</v>
      </c>
      <c r="S58" s="27">
        <v>4000</v>
      </c>
      <c r="T58" s="24">
        <f t="shared" si="4"/>
        <v>-4000</v>
      </c>
      <c r="U58" s="25"/>
      <c r="V58" s="69"/>
      <c r="W58" s="69"/>
      <c r="X58" s="69"/>
    </row>
    <row r="59" spans="1:24" x14ac:dyDescent="0.3">
      <c r="A59" s="25">
        <v>57</v>
      </c>
      <c r="B59" s="30">
        <v>45907</v>
      </c>
      <c r="C59" s="30">
        <v>45907</v>
      </c>
      <c r="D59" s="19" t="str">
        <f t="shared" si="3"/>
        <v>Sep , 2025</v>
      </c>
      <c r="E59" s="25"/>
      <c r="F59" s="25" t="s">
        <v>94</v>
      </c>
      <c r="G59" s="25" t="s">
        <v>59</v>
      </c>
      <c r="H59" s="25" t="s">
        <v>55</v>
      </c>
      <c r="I59" s="25" t="s">
        <v>56</v>
      </c>
      <c r="J59" s="25" t="s">
        <v>95</v>
      </c>
      <c r="K59" s="17" t="s">
        <v>2</v>
      </c>
      <c r="L59" s="26">
        <v>520</v>
      </c>
      <c r="M59" s="26">
        <v>0</v>
      </c>
      <c r="N59" s="35">
        <f t="shared" si="1"/>
        <v>520</v>
      </c>
      <c r="O59" s="26">
        <v>0</v>
      </c>
      <c r="P59" s="26">
        <v>0</v>
      </c>
      <c r="Q59" s="26">
        <v>0</v>
      </c>
      <c r="R59" s="36">
        <f t="shared" si="2"/>
        <v>520</v>
      </c>
      <c r="S59" s="27">
        <v>520</v>
      </c>
      <c r="T59" s="24">
        <f t="shared" si="4"/>
        <v>0</v>
      </c>
      <c r="U59" s="25"/>
      <c r="V59" s="69"/>
      <c r="W59" s="69"/>
      <c r="X59" s="69"/>
    </row>
    <row r="60" spans="1:24" x14ac:dyDescent="0.3">
      <c r="A60" s="17">
        <v>58</v>
      </c>
      <c r="B60" s="30">
        <v>45881</v>
      </c>
      <c r="C60" s="30">
        <v>45912</v>
      </c>
      <c r="D60" s="19" t="str">
        <f t="shared" si="3"/>
        <v>Aug , 2025</v>
      </c>
      <c r="E60" s="25"/>
      <c r="F60" s="25" t="s">
        <v>81</v>
      </c>
      <c r="G60" s="25" t="s">
        <v>79</v>
      </c>
      <c r="H60" s="25" t="s">
        <v>55</v>
      </c>
      <c r="I60" s="25" t="s">
        <v>56</v>
      </c>
      <c r="J60" s="25" t="s">
        <v>118</v>
      </c>
      <c r="K60" s="25" t="s">
        <v>5</v>
      </c>
      <c r="L60" s="26">
        <v>0</v>
      </c>
      <c r="M60" s="26">
        <v>0</v>
      </c>
      <c r="N60" s="35">
        <f t="shared" si="1"/>
        <v>0</v>
      </c>
      <c r="O60" s="26">
        <v>0</v>
      </c>
      <c r="P60" s="26">
        <v>0</v>
      </c>
      <c r="Q60" s="26">
        <v>0</v>
      </c>
      <c r="R60" s="36">
        <f t="shared" si="2"/>
        <v>0</v>
      </c>
      <c r="S60" s="27">
        <v>30000</v>
      </c>
      <c r="T60" s="24">
        <f t="shared" si="4"/>
        <v>-30000</v>
      </c>
      <c r="U60" s="25"/>
      <c r="V60" s="69"/>
      <c r="W60" s="69"/>
      <c r="X60" s="69"/>
    </row>
    <row r="61" spans="1:24" x14ac:dyDescent="0.3">
      <c r="A61" s="17">
        <v>59</v>
      </c>
      <c r="B61" s="30">
        <v>45911</v>
      </c>
      <c r="C61" s="30">
        <v>45911</v>
      </c>
      <c r="D61" s="19" t="str">
        <f t="shared" si="3"/>
        <v>Sep , 2025</v>
      </c>
      <c r="E61" s="25"/>
      <c r="F61" s="25" t="s">
        <v>53</v>
      </c>
      <c r="G61" s="25" t="s">
        <v>59</v>
      </c>
      <c r="H61" s="25" t="s">
        <v>55</v>
      </c>
      <c r="I61" s="25" t="s">
        <v>56</v>
      </c>
      <c r="J61" s="25" t="s">
        <v>106</v>
      </c>
      <c r="K61" s="17" t="s">
        <v>2</v>
      </c>
      <c r="L61" s="26">
        <v>5000</v>
      </c>
      <c r="M61" s="26">
        <v>0</v>
      </c>
      <c r="N61" s="35">
        <f t="shared" si="1"/>
        <v>5000</v>
      </c>
      <c r="O61" s="26">
        <v>0</v>
      </c>
      <c r="P61" s="26">
        <v>0</v>
      </c>
      <c r="Q61" s="26">
        <v>0</v>
      </c>
      <c r="R61" s="36">
        <f t="shared" si="2"/>
        <v>5000</v>
      </c>
      <c r="S61" s="27">
        <v>5000</v>
      </c>
      <c r="T61" s="24">
        <f t="shared" si="4"/>
        <v>0</v>
      </c>
      <c r="U61" s="25"/>
      <c r="V61" s="69"/>
      <c r="W61" s="69"/>
      <c r="X61" s="69"/>
    </row>
    <row r="62" spans="1:24" x14ac:dyDescent="0.3">
      <c r="A62" s="25">
        <v>60</v>
      </c>
      <c r="B62" s="30">
        <v>45912</v>
      </c>
      <c r="C62" s="30">
        <v>45912</v>
      </c>
      <c r="D62" s="19" t="str">
        <f t="shared" si="3"/>
        <v>Sep , 2025</v>
      </c>
      <c r="E62" s="25"/>
      <c r="F62" s="25" t="s">
        <v>53</v>
      </c>
      <c r="G62" s="25" t="s">
        <v>59</v>
      </c>
      <c r="H62" s="25" t="s">
        <v>55</v>
      </c>
      <c r="I62" s="25" t="s">
        <v>56</v>
      </c>
      <c r="J62" s="25" t="s">
        <v>106</v>
      </c>
      <c r="K62" s="17" t="s">
        <v>2</v>
      </c>
      <c r="L62" s="26">
        <v>4351</v>
      </c>
      <c r="M62" s="26">
        <v>0</v>
      </c>
      <c r="N62" s="35">
        <f t="shared" si="1"/>
        <v>4351</v>
      </c>
      <c r="O62" s="26">
        <v>0</v>
      </c>
      <c r="P62" s="26">
        <v>0</v>
      </c>
      <c r="Q62" s="26">
        <v>0</v>
      </c>
      <c r="R62" s="36">
        <f t="shared" si="2"/>
        <v>4351</v>
      </c>
      <c r="S62" s="27">
        <v>4351</v>
      </c>
      <c r="T62" s="24">
        <f t="shared" si="4"/>
        <v>0</v>
      </c>
      <c r="U62" s="25"/>
      <c r="V62" s="69"/>
      <c r="W62" s="69"/>
      <c r="X62" s="69"/>
    </row>
    <row r="63" spans="1:24" x14ac:dyDescent="0.3">
      <c r="A63" s="17">
        <v>61</v>
      </c>
      <c r="B63" s="30">
        <v>45910</v>
      </c>
      <c r="C63" s="30">
        <v>45924</v>
      </c>
      <c r="D63" s="19" t="str">
        <f t="shared" si="3"/>
        <v>Sep , 2025</v>
      </c>
      <c r="E63" s="47" t="s">
        <v>119</v>
      </c>
      <c r="F63" s="25" t="s">
        <v>120</v>
      </c>
      <c r="G63" s="25" t="s">
        <v>70</v>
      </c>
      <c r="H63" s="25" t="s">
        <v>55</v>
      </c>
      <c r="I63" s="25" t="s">
        <v>56</v>
      </c>
      <c r="J63" s="25" t="s">
        <v>121</v>
      </c>
      <c r="K63" s="25" t="s">
        <v>4</v>
      </c>
      <c r="L63" s="26">
        <v>69000</v>
      </c>
      <c r="M63" s="26">
        <f>L63*18%</f>
        <v>12420</v>
      </c>
      <c r="N63" s="35">
        <f t="shared" si="1"/>
        <v>81420</v>
      </c>
      <c r="O63" s="26">
        <f>L63*1%</f>
        <v>690</v>
      </c>
      <c r="P63" s="26">
        <v>0</v>
      </c>
      <c r="Q63" s="26">
        <v>0</v>
      </c>
      <c r="R63" s="36">
        <f t="shared" si="2"/>
        <v>80730</v>
      </c>
      <c r="S63" s="27">
        <v>80730</v>
      </c>
      <c r="T63" s="24">
        <f t="shared" si="4"/>
        <v>0</v>
      </c>
      <c r="U63" s="25" t="s">
        <v>122</v>
      </c>
      <c r="V63" s="69"/>
      <c r="W63" s="69"/>
      <c r="X63" s="69"/>
    </row>
    <row r="64" spans="1:24" x14ac:dyDescent="0.3">
      <c r="A64" s="17">
        <v>62</v>
      </c>
      <c r="B64" s="30">
        <v>45930</v>
      </c>
      <c r="C64" s="30">
        <v>45919</v>
      </c>
      <c r="D64" s="19" t="str">
        <f t="shared" si="3"/>
        <v>Sep , 2025</v>
      </c>
      <c r="E64" s="25"/>
      <c r="F64" s="25" t="s">
        <v>59</v>
      </c>
      <c r="G64" s="25" t="s">
        <v>70</v>
      </c>
      <c r="H64" s="25" t="s">
        <v>55</v>
      </c>
      <c r="I64" s="25" t="s">
        <v>56</v>
      </c>
      <c r="J64" s="25" t="s">
        <v>123</v>
      </c>
      <c r="K64" s="25" t="s">
        <v>11</v>
      </c>
      <c r="L64" s="26">
        <v>0</v>
      </c>
      <c r="M64" s="26">
        <f>L64*18%</f>
        <v>0</v>
      </c>
      <c r="N64" s="35">
        <f t="shared" si="1"/>
        <v>0</v>
      </c>
      <c r="O64" s="26">
        <v>0</v>
      </c>
      <c r="P64" s="26">
        <v>0</v>
      </c>
      <c r="Q64" s="26">
        <v>0</v>
      </c>
      <c r="R64" s="36">
        <f t="shared" si="2"/>
        <v>0</v>
      </c>
      <c r="S64" s="27">
        <v>18000</v>
      </c>
      <c r="T64" s="24">
        <f t="shared" si="4"/>
        <v>-18000</v>
      </c>
      <c r="U64" s="25"/>
      <c r="V64" s="69"/>
      <c r="W64" s="69"/>
      <c r="X64" s="69"/>
    </row>
    <row r="65" spans="1:24" x14ac:dyDescent="0.3">
      <c r="A65" s="25">
        <v>63</v>
      </c>
      <c r="B65" s="30">
        <v>45906</v>
      </c>
      <c r="C65" s="30">
        <v>45917</v>
      </c>
      <c r="D65" s="19" t="str">
        <f t="shared" si="3"/>
        <v>Sep , 2025</v>
      </c>
      <c r="E65" s="47" t="s">
        <v>124</v>
      </c>
      <c r="F65" s="25" t="s">
        <v>125</v>
      </c>
      <c r="G65" s="25" t="s">
        <v>70</v>
      </c>
      <c r="H65" s="25" t="s">
        <v>55</v>
      </c>
      <c r="I65" s="25" t="s">
        <v>56</v>
      </c>
      <c r="J65" s="25" t="s">
        <v>126</v>
      </c>
      <c r="K65" s="25" t="s">
        <v>3</v>
      </c>
      <c r="L65" s="26">
        <v>30000</v>
      </c>
      <c r="M65" s="26">
        <f>L65*18%</f>
        <v>5400</v>
      </c>
      <c r="N65" s="35">
        <f t="shared" si="1"/>
        <v>35400</v>
      </c>
      <c r="O65" s="26">
        <v>0</v>
      </c>
      <c r="P65" s="26">
        <v>0</v>
      </c>
      <c r="Q65" s="26">
        <v>0</v>
      </c>
      <c r="R65" s="36">
        <f t="shared" si="2"/>
        <v>35400</v>
      </c>
      <c r="S65" s="27">
        <v>35400</v>
      </c>
      <c r="T65" s="24">
        <f t="shared" si="4"/>
        <v>0</v>
      </c>
      <c r="U65" s="25" t="s">
        <v>127</v>
      </c>
      <c r="V65" s="73"/>
      <c r="W65" s="69"/>
      <c r="X65" s="69"/>
    </row>
    <row r="66" spans="1:24" x14ac:dyDescent="0.3">
      <c r="A66" s="17">
        <v>64</v>
      </c>
      <c r="B66" s="30">
        <v>45901</v>
      </c>
      <c r="C66" s="30">
        <v>45918</v>
      </c>
      <c r="D66" s="19" t="str">
        <f t="shared" si="3"/>
        <v>Sep , 2025</v>
      </c>
      <c r="E66" s="25"/>
      <c r="F66" s="25" t="s">
        <v>78</v>
      </c>
      <c r="G66" s="25" t="s">
        <v>100</v>
      </c>
      <c r="H66" s="25" t="s">
        <v>55</v>
      </c>
      <c r="I66" s="25" t="s">
        <v>56</v>
      </c>
      <c r="J66" s="25" t="s">
        <v>128</v>
      </c>
      <c r="K66" s="25" t="s">
        <v>8</v>
      </c>
      <c r="L66" s="26">
        <v>6000</v>
      </c>
      <c r="M66" s="26">
        <v>0</v>
      </c>
      <c r="N66" s="35">
        <f t="shared" si="1"/>
        <v>6000</v>
      </c>
      <c r="O66" s="26">
        <v>0</v>
      </c>
      <c r="P66" s="26">
        <v>0</v>
      </c>
      <c r="Q66" s="26">
        <v>0</v>
      </c>
      <c r="R66" s="36">
        <f t="shared" si="2"/>
        <v>6000</v>
      </c>
      <c r="S66" s="27">
        <v>6000</v>
      </c>
      <c r="T66" s="24">
        <f t="shared" si="4"/>
        <v>0</v>
      </c>
      <c r="U66" s="25"/>
      <c r="V66" s="69"/>
      <c r="W66" s="69"/>
      <c r="X66" s="69"/>
    </row>
    <row r="67" spans="1:24" x14ac:dyDescent="0.3">
      <c r="A67" s="17">
        <v>65</v>
      </c>
      <c r="B67" s="30">
        <v>45915</v>
      </c>
      <c r="C67" s="30">
        <v>45918</v>
      </c>
      <c r="D67" s="19" t="str">
        <f t="shared" si="3"/>
        <v>Sep , 2025</v>
      </c>
      <c r="E67" s="25"/>
      <c r="F67" s="25" t="s">
        <v>81</v>
      </c>
      <c r="G67" s="25" t="s">
        <v>129</v>
      </c>
      <c r="H67" s="25" t="s">
        <v>55</v>
      </c>
      <c r="I67" s="25" t="s">
        <v>56</v>
      </c>
      <c r="J67" s="25" t="s">
        <v>130</v>
      </c>
      <c r="K67" s="25" t="s">
        <v>5</v>
      </c>
      <c r="L67" s="26">
        <v>17000</v>
      </c>
      <c r="M67" s="26">
        <v>0</v>
      </c>
      <c r="N67" s="35">
        <f t="shared" ref="N67:N130" si="5">L67+M67</f>
        <v>17000</v>
      </c>
      <c r="O67" s="26">
        <v>0</v>
      </c>
      <c r="P67" s="26">
        <v>0</v>
      </c>
      <c r="Q67" s="26">
        <v>0</v>
      </c>
      <c r="R67" s="36">
        <f t="shared" ref="R67:R130" si="6">N67-O67-P67-Q67</f>
        <v>17000</v>
      </c>
      <c r="S67" s="27">
        <v>22041</v>
      </c>
      <c r="T67" s="24">
        <f t="shared" si="4"/>
        <v>-5041</v>
      </c>
      <c r="U67" s="25"/>
      <c r="V67" s="69"/>
      <c r="W67" s="69"/>
      <c r="X67" s="69"/>
    </row>
    <row r="68" spans="1:24" x14ac:dyDescent="0.3">
      <c r="A68" s="25">
        <v>66</v>
      </c>
      <c r="B68" s="30">
        <v>45915</v>
      </c>
      <c r="C68" s="30">
        <v>45915</v>
      </c>
      <c r="D68" s="19" t="str">
        <f t="shared" ref="D68:D131" si="7">TEXT(B68,"mmm , yyy")</f>
        <v>Sep , 2025</v>
      </c>
      <c r="E68" s="25"/>
      <c r="F68" s="25" t="s">
        <v>53</v>
      </c>
      <c r="G68" s="25" t="s">
        <v>59</v>
      </c>
      <c r="H68" s="25" t="s">
        <v>55</v>
      </c>
      <c r="I68" s="25" t="s">
        <v>56</v>
      </c>
      <c r="J68" s="25" t="s">
        <v>131</v>
      </c>
      <c r="K68" s="17" t="s">
        <v>2</v>
      </c>
      <c r="L68" s="26">
        <v>1500</v>
      </c>
      <c r="M68" s="26">
        <v>0</v>
      </c>
      <c r="N68" s="35">
        <f t="shared" si="5"/>
        <v>1500</v>
      </c>
      <c r="O68" s="26">
        <v>0</v>
      </c>
      <c r="P68" s="26">
        <v>0</v>
      </c>
      <c r="Q68" s="26">
        <v>0</v>
      </c>
      <c r="R68" s="36">
        <f t="shared" si="6"/>
        <v>1500</v>
      </c>
      <c r="S68" s="27">
        <v>1500</v>
      </c>
      <c r="T68" s="24">
        <f t="shared" si="4"/>
        <v>0</v>
      </c>
      <c r="U68" s="25"/>
      <c r="V68" s="69"/>
      <c r="W68" s="69"/>
      <c r="X68" s="69"/>
    </row>
    <row r="69" spans="1:24" x14ac:dyDescent="0.3">
      <c r="A69" s="17">
        <v>67</v>
      </c>
      <c r="B69" s="30">
        <v>45922</v>
      </c>
      <c r="C69" s="30">
        <v>45922</v>
      </c>
      <c r="D69" s="19" t="str">
        <f t="shared" si="7"/>
        <v>Sep , 2025</v>
      </c>
      <c r="E69" s="25"/>
      <c r="F69" s="25" t="s">
        <v>78</v>
      </c>
      <c r="G69" s="25" t="s">
        <v>59</v>
      </c>
      <c r="H69" s="25" t="s">
        <v>55</v>
      </c>
      <c r="I69" s="25" t="s">
        <v>56</v>
      </c>
      <c r="J69" s="25" t="s">
        <v>132</v>
      </c>
      <c r="K69" s="25" t="s">
        <v>15</v>
      </c>
      <c r="L69" s="26">
        <f>381+188</f>
        <v>569</v>
      </c>
      <c r="M69" s="26">
        <v>0</v>
      </c>
      <c r="N69" s="35">
        <f t="shared" si="5"/>
        <v>569</v>
      </c>
      <c r="O69" s="26">
        <v>0</v>
      </c>
      <c r="P69" s="26">
        <v>0</v>
      </c>
      <c r="Q69" s="26">
        <v>0</v>
      </c>
      <c r="R69" s="36">
        <f t="shared" si="6"/>
        <v>569</v>
      </c>
      <c r="S69" s="27">
        <f>381+188</f>
        <v>569</v>
      </c>
      <c r="T69" s="24">
        <f t="shared" ref="T69:T132" si="8">R69-S69</f>
        <v>0</v>
      </c>
      <c r="U69" s="25"/>
      <c r="V69" s="69"/>
      <c r="W69" s="69"/>
      <c r="X69" s="69"/>
    </row>
    <row r="70" spans="1:24" x14ac:dyDescent="0.3">
      <c r="A70" s="17">
        <v>68</v>
      </c>
      <c r="B70" s="30">
        <v>45924</v>
      </c>
      <c r="C70" s="30">
        <v>45924</v>
      </c>
      <c r="D70" s="19" t="str">
        <f t="shared" si="7"/>
        <v>Sep , 2025</v>
      </c>
      <c r="E70" s="25"/>
      <c r="F70" s="25" t="s">
        <v>94</v>
      </c>
      <c r="G70" s="25" t="s">
        <v>59</v>
      </c>
      <c r="H70" s="25" t="s">
        <v>55</v>
      </c>
      <c r="I70" s="25" t="s">
        <v>56</v>
      </c>
      <c r="J70" s="25" t="s">
        <v>95</v>
      </c>
      <c r="K70" s="17" t="s">
        <v>2</v>
      </c>
      <c r="L70" s="26">
        <v>520</v>
      </c>
      <c r="M70" s="26">
        <v>0</v>
      </c>
      <c r="N70" s="35">
        <f t="shared" si="5"/>
        <v>520</v>
      </c>
      <c r="O70" s="26">
        <v>0</v>
      </c>
      <c r="P70" s="26">
        <v>0</v>
      </c>
      <c r="Q70" s="26">
        <v>0</v>
      </c>
      <c r="R70" s="36">
        <f t="shared" si="6"/>
        <v>520</v>
      </c>
      <c r="S70" s="27">
        <v>520</v>
      </c>
      <c r="T70" s="24">
        <f t="shared" si="8"/>
        <v>0</v>
      </c>
      <c r="U70" s="25"/>
      <c r="V70" s="69"/>
      <c r="W70" s="69"/>
      <c r="X70" s="69"/>
    </row>
    <row r="71" spans="1:24" x14ac:dyDescent="0.3">
      <c r="A71" s="25">
        <v>69</v>
      </c>
      <c r="B71" s="30">
        <v>45931</v>
      </c>
      <c r="C71" s="30">
        <v>45935</v>
      </c>
      <c r="D71" s="19" t="str">
        <f t="shared" si="7"/>
        <v>Oct , 2025</v>
      </c>
      <c r="E71" s="25"/>
      <c r="F71" s="25" t="s">
        <v>78</v>
      </c>
      <c r="G71" s="25" t="s">
        <v>79</v>
      </c>
      <c r="H71" s="25" t="s">
        <v>55</v>
      </c>
      <c r="I71" s="25" t="s">
        <v>56</v>
      </c>
      <c r="J71" s="25" t="s">
        <v>133</v>
      </c>
      <c r="K71" s="25" t="s">
        <v>8</v>
      </c>
      <c r="L71" s="26">
        <v>6000</v>
      </c>
      <c r="M71" s="26">
        <v>0</v>
      </c>
      <c r="N71" s="35">
        <f t="shared" si="5"/>
        <v>6000</v>
      </c>
      <c r="O71" s="26">
        <v>0</v>
      </c>
      <c r="P71" s="26">
        <v>0</v>
      </c>
      <c r="Q71" s="26">
        <v>0</v>
      </c>
      <c r="R71" s="36">
        <f t="shared" si="6"/>
        <v>6000</v>
      </c>
      <c r="S71" s="27">
        <v>6000</v>
      </c>
      <c r="T71" s="24">
        <f t="shared" si="8"/>
        <v>0</v>
      </c>
      <c r="U71" s="25"/>
      <c r="V71" s="69"/>
      <c r="W71" s="69"/>
      <c r="X71" s="69"/>
    </row>
    <row r="72" spans="1:24" x14ac:dyDescent="0.3">
      <c r="A72" s="17">
        <v>70</v>
      </c>
      <c r="B72" s="30">
        <v>45937</v>
      </c>
      <c r="C72" s="30">
        <v>45937</v>
      </c>
      <c r="D72" s="19" t="str">
        <f t="shared" si="7"/>
        <v>Oct , 2025</v>
      </c>
      <c r="E72" s="25"/>
      <c r="F72" s="25" t="s">
        <v>134</v>
      </c>
      <c r="G72" s="25" t="s">
        <v>59</v>
      </c>
      <c r="H72" s="25" t="s">
        <v>55</v>
      </c>
      <c r="I72" s="25" t="s">
        <v>56</v>
      </c>
      <c r="J72" s="25" t="s">
        <v>95</v>
      </c>
      <c r="K72" s="17" t="s">
        <v>2</v>
      </c>
      <c r="L72" s="26">
        <v>510</v>
      </c>
      <c r="M72" s="26">
        <v>0</v>
      </c>
      <c r="N72" s="35">
        <f t="shared" si="5"/>
        <v>510</v>
      </c>
      <c r="O72" s="26">
        <v>0</v>
      </c>
      <c r="P72" s="26">
        <v>0</v>
      </c>
      <c r="Q72" s="26">
        <v>0</v>
      </c>
      <c r="R72" s="36">
        <f t="shared" si="6"/>
        <v>510</v>
      </c>
      <c r="S72" s="27">
        <v>510</v>
      </c>
      <c r="T72" s="24">
        <f t="shared" si="8"/>
        <v>0</v>
      </c>
      <c r="U72" s="25"/>
      <c r="V72" s="69"/>
      <c r="W72" s="69"/>
      <c r="X72" s="69"/>
    </row>
    <row r="73" spans="1:24" x14ac:dyDescent="0.3">
      <c r="A73" s="17">
        <v>71</v>
      </c>
      <c r="B73" s="30">
        <v>45941</v>
      </c>
      <c r="C73" s="30">
        <v>45941</v>
      </c>
      <c r="D73" s="19" t="str">
        <f t="shared" si="7"/>
        <v>Oct , 2025</v>
      </c>
      <c r="E73" s="47" t="s">
        <v>135</v>
      </c>
      <c r="F73" s="25" t="s">
        <v>136</v>
      </c>
      <c r="G73" s="25" t="s">
        <v>59</v>
      </c>
      <c r="H73" s="25" t="s">
        <v>55</v>
      </c>
      <c r="I73" s="25" t="s">
        <v>56</v>
      </c>
      <c r="J73" s="25" t="s">
        <v>137</v>
      </c>
      <c r="K73" s="25" t="s">
        <v>6</v>
      </c>
      <c r="L73" s="26">
        <v>1400</v>
      </c>
      <c r="M73" s="26">
        <v>0</v>
      </c>
      <c r="N73" s="35">
        <f t="shared" si="5"/>
        <v>1400</v>
      </c>
      <c r="O73" s="26">
        <v>0</v>
      </c>
      <c r="P73" s="26">
        <v>0</v>
      </c>
      <c r="Q73" s="26">
        <v>0</v>
      </c>
      <c r="R73" s="36">
        <f t="shared" si="6"/>
        <v>1400</v>
      </c>
      <c r="S73" s="27">
        <v>1400</v>
      </c>
      <c r="T73" s="24">
        <f t="shared" si="8"/>
        <v>0</v>
      </c>
      <c r="U73" s="25"/>
      <c r="V73" s="69"/>
      <c r="W73" s="69"/>
      <c r="X73" s="69"/>
    </row>
    <row r="74" spans="1:24" x14ac:dyDescent="0.3">
      <c r="A74" s="25">
        <v>72</v>
      </c>
      <c r="B74" s="30">
        <v>45943</v>
      </c>
      <c r="C74" s="30">
        <v>45943</v>
      </c>
      <c r="D74" s="19" t="str">
        <f t="shared" si="7"/>
        <v>Oct , 2025</v>
      </c>
      <c r="E74" s="25"/>
      <c r="F74" s="25" t="s">
        <v>53</v>
      </c>
      <c r="G74" s="25" t="s">
        <v>59</v>
      </c>
      <c r="H74" s="25" t="s">
        <v>55</v>
      </c>
      <c r="I74" s="25" t="s">
        <v>56</v>
      </c>
      <c r="J74" s="25" t="s">
        <v>57</v>
      </c>
      <c r="K74" s="17" t="s">
        <v>2</v>
      </c>
      <c r="L74" s="26">
        <v>5000</v>
      </c>
      <c r="M74" s="26">
        <v>0</v>
      </c>
      <c r="N74" s="35">
        <f t="shared" si="5"/>
        <v>5000</v>
      </c>
      <c r="O74" s="26">
        <v>0</v>
      </c>
      <c r="P74" s="26">
        <v>0</v>
      </c>
      <c r="Q74" s="26">
        <v>0</v>
      </c>
      <c r="R74" s="36">
        <f t="shared" si="6"/>
        <v>5000</v>
      </c>
      <c r="S74" s="27">
        <v>5000</v>
      </c>
      <c r="T74" s="24">
        <f t="shared" si="8"/>
        <v>0</v>
      </c>
      <c r="U74" s="25"/>
      <c r="V74" s="69"/>
      <c r="W74" s="69"/>
      <c r="X74" s="69"/>
    </row>
    <row r="75" spans="1:24" x14ac:dyDescent="0.3">
      <c r="A75" s="17">
        <v>73</v>
      </c>
      <c r="B75" s="30">
        <v>45944</v>
      </c>
      <c r="C75" s="30">
        <v>45944</v>
      </c>
      <c r="D75" s="19" t="str">
        <f t="shared" si="7"/>
        <v>Oct , 2025</v>
      </c>
      <c r="E75" s="25"/>
      <c r="F75" s="25" t="s">
        <v>53</v>
      </c>
      <c r="G75" s="25" t="s">
        <v>59</v>
      </c>
      <c r="H75" s="25" t="s">
        <v>55</v>
      </c>
      <c r="I75" s="25" t="s">
        <v>56</v>
      </c>
      <c r="J75" s="25" t="s">
        <v>95</v>
      </c>
      <c r="K75" s="17" t="s">
        <v>2</v>
      </c>
      <c r="L75" s="26">
        <v>510</v>
      </c>
      <c r="M75" s="26">
        <v>0</v>
      </c>
      <c r="N75" s="35">
        <f t="shared" si="5"/>
        <v>510</v>
      </c>
      <c r="O75" s="26">
        <v>0</v>
      </c>
      <c r="P75" s="26">
        <v>0</v>
      </c>
      <c r="Q75" s="26">
        <v>0</v>
      </c>
      <c r="R75" s="36">
        <f t="shared" si="6"/>
        <v>510</v>
      </c>
      <c r="S75" s="27">
        <v>510</v>
      </c>
      <c r="T75" s="24">
        <f t="shared" si="8"/>
        <v>0</v>
      </c>
      <c r="U75" s="25"/>
      <c r="V75" s="69"/>
      <c r="W75" s="69"/>
      <c r="X75" s="69"/>
    </row>
    <row r="76" spans="1:24" x14ac:dyDescent="0.3">
      <c r="A76" s="17">
        <v>74</v>
      </c>
      <c r="B76" s="30">
        <v>45944</v>
      </c>
      <c r="C76" s="30">
        <v>45944</v>
      </c>
      <c r="D76" s="19" t="str">
        <f t="shared" si="7"/>
        <v>Oct , 2025</v>
      </c>
      <c r="E76" s="25"/>
      <c r="F76" s="25" t="s">
        <v>53</v>
      </c>
      <c r="G76" s="25" t="s">
        <v>59</v>
      </c>
      <c r="H76" s="25" t="s">
        <v>55</v>
      </c>
      <c r="I76" s="25" t="s">
        <v>56</v>
      </c>
      <c r="J76" s="25" t="s">
        <v>57</v>
      </c>
      <c r="K76" s="17" t="s">
        <v>2</v>
      </c>
      <c r="L76" s="26">
        <v>5000</v>
      </c>
      <c r="M76" s="26">
        <v>0</v>
      </c>
      <c r="N76" s="35">
        <f t="shared" si="5"/>
        <v>5000</v>
      </c>
      <c r="O76" s="26">
        <v>0</v>
      </c>
      <c r="P76" s="26">
        <v>0</v>
      </c>
      <c r="Q76" s="26">
        <v>0</v>
      </c>
      <c r="R76" s="36">
        <f t="shared" si="6"/>
        <v>5000</v>
      </c>
      <c r="S76" s="27">
        <v>5000</v>
      </c>
      <c r="T76" s="24">
        <f t="shared" si="8"/>
        <v>0</v>
      </c>
      <c r="U76" s="25"/>
      <c r="V76" s="69"/>
      <c r="W76" s="69"/>
      <c r="X76" s="69"/>
    </row>
    <row r="77" spans="1:24" x14ac:dyDescent="0.3">
      <c r="A77" s="25">
        <v>75</v>
      </c>
      <c r="B77" s="30">
        <v>45945</v>
      </c>
      <c r="C77" s="30">
        <v>45945</v>
      </c>
      <c r="D77" s="19" t="str">
        <f t="shared" si="7"/>
        <v>Oct , 2025</v>
      </c>
      <c r="E77" s="25" t="s">
        <v>61</v>
      </c>
      <c r="F77" s="25" t="s">
        <v>53</v>
      </c>
      <c r="G77" s="25" t="s">
        <v>59</v>
      </c>
      <c r="H77" s="25" t="s">
        <v>55</v>
      </c>
      <c r="I77" s="25" t="s">
        <v>56</v>
      </c>
      <c r="J77" s="25" t="s">
        <v>57</v>
      </c>
      <c r="K77" s="17" t="s">
        <v>2</v>
      </c>
      <c r="L77" s="26">
        <v>5000</v>
      </c>
      <c r="M77" s="26">
        <v>0</v>
      </c>
      <c r="N77" s="35">
        <f t="shared" si="5"/>
        <v>5000</v>
      </c>
      <c r="O77" s="26">
        <v>0</v>
      </c>
      <c r="P77" s="26">
        <v>0</v>
      </c>
      <c r="Q77" s="26">
        <v>0</v>
      </c>
      <c r="R77" s="36">
        <f t="shared" si="6"/>
        <v>5000</v>
      </c>
      <c r="S77" s="27">
        <v>5000</v>
      </c>
      <c r="T77" s="24">
        <f t="shared" si="8"/>
        <v>0</v>
      </c>
      <c r="U77" s="25"/>
      <c r="V77" s="69"/>
      <c r="W77" s="69"/>
      <c r="X77" s="69"/>
    </row>
    <row r="78" spans="1:24" x14ac:dyDescent="0.3">
      <c r="A78" s="17">
        <v>76</v>
      </c>
      <c r="B78" s="30">
        <v>45947</v>
      </c>
      <c r="C78" s="30">
        <v>45947</v>
      </c>
      <c r="D78" s="19" t="str">
        <f t="shared" si="7"/>
        <v>Oct , 2025</v>
      </c>
      <c r="E78" s="25" t="s">
        <v>61</v>
      </c>
      <c r="F78" s="25" t="s">
        <v>53</v>
      </c>
      <c r="G78" s="25" t="s">
        <v>59</v>
      </c>
      <c r="H78" s="25" t="s">
        <v>55</v>
      </c>
      <c r="I78" s="25" t="s">
        <v>56</v>
      </c>
      <c r="J78" s="25" t="s">
        <v>57</v>
      </c>
      <c r="K78" s="17" t="s">
        <v>2</v>
      </c>
      <c r="L78" s="26">
        <v>5000</v>
      </c>
      <c r="M78" s="26">
        <v>0</v>
      </c>
      <c r="N78" s="35">
        <f t="shared" si="5"/>
        <v>5000</v>
      </c>
      <c r="O78" s="26">
        <v>0</v>
      </c>
      <c r="P78" s="26">
        <v>0</v>
      </c>
      <c r="Q78" s="26">
        <v>0</v>
      </c>
      <c r="R78" s="36">
        <f t="shared" si="6"/>
        <v>5000</v>
      </c>
      <c r="S78" s="27">
        <v>5000</v>
      </c>
      <c r="T78" s="24">
        <f t="shared" si="8"/>
        <v>0</v>
      </c>
      <c r="U78" s="25"/>
      <c r="V78" s="69"/>
      <c r="W78" s="69"/>
      <c r="X78" s="69"/>
    </row>
    <row r="79" spans="1:24" x14ac:dyDescent="0.3">
      <c r="A79" s="17">
        <v>77</v>
      </c>
      <c r="B79" s="30">
        <v>45948</v>
      </c>
      <c r="C79" s="30">
        <v>45948</v>
      </c>
      <c r="D79" s="19" t="str">
        <f t="shared" si="7"/>
        <v>Oct , 2025</v>
      </c>
      <c r="E79" s="25"/>
      <c r="F79" s="25" t="s">
        <v>53</v>
      </c>
      <c r="G79" s="25" t="s">
        <v>59</v>
      </c>
      <c r="H79" s="25" t="s">
        <v>55</v>
      </c>
      <c r="I79" s="25" t="s">
        <v>56</v>
      </c>
      <c r="J79" s="25" t="s">
        <v>57</v>
      </c>
      <c r="K79" s="17" t="s">
        <v>2</v>
      </c>
      <c r="L79" s="26">
        <v>5000</v>
      </c>
      <c r="M79" s="26">
        <v>0</v>
      </c>
      <c r="N79" s="35">
        <f t="shared" si="5"/>
        <v>5000</v>
      </c>
      <c r="O79" s="26">
        <v>0</v>
      </c>
      <c r="P79" s="26">
        <v>0</v>
      </c>
      <c r="Q79" s="26">
        <v>0</v>
      </c>
      <c r="R79" s="36">
        <f t="shared" si="6"/>
        <v>5000</v>
      </c>
      <c r="S79" s="27">
        <v>5000</v>
      </c>
      <c r="T79" s="24">
        <f t="shared" si="8"/>
        <v>0</v>
      </c>
      <c r="U79" s="25"/>
      <c r="V79" s="69"/>
      <c r="W79" s="69"/>
      <c r="X79" s="69"/>
    </row>
    <row r="80" spans="1:24" x14ac:dyDescent="0.3">
      <c r="A80" s="25">
        <v>78</v>
      </c>
      <c r="B80" s="30">
        <v>45949</v>
      </c>
      <c r="C80" s="30">
        <v>45949</v>
      </c>
      <c r="D80" s="19" t="str">
        <f t="shared" si="7"/>
        <v>Oct , 2025</v>
      </c>
      <c r="E80" s="25"/>
      <c r="F80" s="25" t="s">
        <v>53</v>
      </c>
      <c r="G80" s="25" t="s">
        <v>59</v>
      </c>
      <c r="H80" s="25" t="s">
        <v>55</v>
      </c>
      <c r="I80" s="25" t="s">
        <v>56</v>
      </c>
      <c r="J80" s="25" t="s">
        <v>95</v>
      </c>
      <c r="K80" s="17" t="s">
        <v>2</v>
      </c>
      <c r="L80" s="26">
        <v>510</v>
      </c>
      <c r="M80" s="26">
        <v>0</v>
      </c>
      <c r="N80" s="35">
        <f t="shared" si="5"/>
        <v>510</v>
      </c>
      <c r="O80" s="26">
        <v>0</v>
      </c>
      <c r="P80" s="26">
        <v>0</v>
      </c>
      <c r="Q80" s="26">
        <v>0</v>
      </c>
      <c r="R80" s="36">
        <f t="shared" si="6"/>
        <v>510</v>
      </c>
      <c r="S80" s="27">
        <v>510</v>
      </c>
      <c r="T80" s="24">
        <f t="shared" si="8"/>
        <v>0</v>
      </c>
      <c r="U80" s="25"/>
      <c r="V80" s="69"/>
      <c r="W80" s="69"/>
      <c r="X80" s="69"/>
    </row>
    <row r="81" spans="1:24" x14ac:dyDescent="0.3">
      <c r="A81" s="17">
        <v>79</v>
      </c>
      <c r="B81" s="30">
        <v>45949</v>
      </c>
      <c r="C81" s="30">
        <v>45949</v>
      </c>
      <c r="D81" s="19" t="str">
        <f t="shared" si="7"/>
        <v>Oct , 2025</v>
      </c>
      <c r="E81" s="25" t="s">
        <v>61</v>
      </c>
      <c r="F81" s="25" t="s">
        <v>53</v>
      </c>
      <c r="G81" s="25" t="s">
        <v>59</v>
      </c>
      <c r="H81" s="25" t="s">
        <v>55</v>
      </c>
      <c r="I81" s="25" t="s">
        <v>56</v>
      </c>
      <c r="J81" s="25" t="s">
        <v>57</v>
      </c>
      <c r="K81" s="17" t="s">
        <v>2</v>
      </c>
      <c r="L81" s="26">
        <v>4500</v>
      </c>
      <c r="M81" s="26">
        <v>0</v>
      </c>
      <c r="N81" s="35">
        <f t="shared" si="5"/>
        <v>4500</v>
      </c>
      <c r="O81" s="26">
        <v>0</v>
      </c>
      <c r="P81" s="26">
        <v>0</v>
      </c>
      <c r="Q81" s="26">
        <v>0</v>
      </c>
      <c r="R81" s="36">
        <f t="shared" si="6"/>
        <v>4500</v>
      </c>
      <c r="S81" s="27">
        <v>4500</v>
      </c>
      <c r="T81" s="24">
        <f t="shared" si="8"/>
        <v>0</v>
      </c>
      <c r="U81" s="25"/>
      <c r="V81" s="69"/>
      <c r="W81" s="69"/>
      <c r="X81" s="69"/>
    </row>
    <row r="82" spans="1:24" x14ac:dyDescent="0.3">
      <c r="A82" s="17">
        <v>80</v>
      </c>
      <c r="B82" s="30">
        <v>45953</v>
      </c>
      <c r="C82" s="30">
        <v>45953</v>
      </c>
      <c r="D82" s="19" t="str">
        <f t="shared" si="7"/>
        <v>Oct , 2025</v>
      </c>
      <c r="E82" s="25"/>
      <c r="F82" s="25" t="s">
        <v>138</v>
      </c>
      <c r="G82" s="25" t="s">
        <v>59</v>
      </c>
      <c r="H82" s="25" t="s">
        <v>55</v>
      </c>
      <c r="I82" s="25" t="s">
        <v>56</v>
      </c>
      <c r="J82" s="25" t="s">
        <v>139</v>
      </c>
      <c r="K82" s="25" t="s">
        <v>7</v>
      </c>
      <c r="L82" s="26">
        <v>290</v>
      </c>
      <c r="M82" s="26">
        <v>0</v>
      </c>
      <c r="N82" s="35">
        <f t="shared" si="5"/>
        <v>290</v>
      </c>
      <c r="O82" s="26">
        <v>0</v>
      </c>
      <c r="P82" s="26">
        <v>0</v>
      </c>
      <c r="Q82" s="26">
        <v>0</v>
      </c>
      <c r="R82" s="36">
        <f t="shared" si="6"/>
        <v>290</v>
      </c>
      <c r="S82" s="27">
        <v>290</v>
      </c>
      <c r="T82" s="24">
        <f t="shared" si="8"/>
        <v>0</v>
      </c>
      <c r="U82" s="25"/>
      <c r="V82" s="69"/>
      <c r="W82" s="69"/>
      <c r="X82" s="69"/>
    </row>
    <row r="83" spans="1:24" x14ac:dyDescent="0.3">
      <c r="A83" s="25">
        <v>81</v>
      </c>
      <c r="B83" s="30">
        <v>45953</v>
      </c>
      <c r="C83" s="30">
        <v>45953</v>
      </c>
      <c r="D83" s="19" t="str">
        <f t="shared" si="7"/>
        <v>Oct , 2025</v>
      </c>
      <c r="E83" s="25" t="s">
        <v>61</v>
      </c>
      <c r="F83" s="25" t="s">
        <v>53</v>
      </c>
      <c r="G83" s="25" t="s">
        <v>59</v>
      </c>
      <c r="H83" s="25" t="s">
        <v>55</v>
      </c>
      <c r="I83" s="25" t="s">
        <v>56</v>
      </c>
      <c r="J83" s="25" t="s">
        <v>57</v>
      </c>
      <c r="K83" s="17" t="s">
        <v>2</v>
      </c>
      <c r="L83" s="26">
        <v>5000</v>
      </c>
      <c r="M83" s="26">
        <v>0</v>
      </c>
      <c r="N83" s="35">
        <f t="shared" si="5"/>
        <v>5000</v>
      </c>
      <c r="O83" s="26">
        <v>0</v>
      </c>
      <c r="P83" s="26">
        <v>0</v>
      </c>
      <c r="Q83" s="26">
        <v>0</v>
      </c>
      <c r="R83" s="36">
        <f t="shared" si="6"/>
        <v>5000</v>
      </c>
      <c r="S83" s="27">
        <v>5000</v>
      </c>
      <c r="T83" s="24">
        <f t="shared" si="8"/>
        <v>0</v>
      </c>
      <c r="U83" s="25"/>
      <c r="V83" s="69"/>
      <c r="W83" s="69"/>
      <c r="X83" s="69"/>
    </row>
    <row r="84" spans="1:24" x14ac:dyDescent="0.3">
      <c r="A84" s="17">
        <v>82</v>
      </c>
      <c r="B84" s="30">
        <v>45956</v>
      </c>
      <c r="C84" s="30">
        <v>45956</v>
      </c>
      <c r="D84" s="19" t="str">
        <f t="shared" si="7"/>
        <v>Oct , 2025</v>
      </c>
      <c r="E84" s="25" t="s">
        <v>61</v>
      </c>
      <c r="F84" s="25" t="s">
        <v>94</v>
      </c>
      <c r="G84" s="25" t="s">
        <v>59</v>
      </c>
      <c r="H84" s="25" t="s">
        <v>55</v>
      </c>
      <c r="I84" s="25" t="s">
        <v>56</v>
      </c>
      <c r="J84" s="25" t="s">
        <v>95</v>
      </c>
      <c r="K84" s="17" t="s">
        <v>2</v>
      </c>
      <c r="L84" s="26">
        <v>299.49</v>
      </c>
      <c r="M84" s="26">
        <v>0</v>
      </c>
      <c r="N84" s="35">
        <f t="shared" si="5"/>
        <v>299.49</v>
      </c>
      <c r="O84" s="26">
        <v>0</v>
      </c>
      <c r="P84" s="26">
        <v>0</v>
      </c>
      <c r="Q84" s="26">
        <v>0</v>
      </c>
      <c r="R84" s="36">
        <f t="shared" si="6"/>
        <v>299.49</v>
      </c>
      <c r="S84" s="27">
        <v>300</v>
      </c>
      <c r="T84" s="24">
        <f t="shared" si="8"/>
        <v>-0.50999999999999091</v>
      </c>
      <c r="U84" s="25"/>
      <c r="V84" s="69"/>
      <c r="W84" s="69"/>
      <c r="X84" s="69"/>
    </row>
    <row r="85" spans="1:24" x14ac:dyDescent="0.3">
      <c r="A85" s="17">
        <v>83</v>
      </c>
      <c r="B85" s="30">
        <v>45956</v>
      </c>
      <c r="C85" s="30">
        <v>45956</v>
      </c>
      <c r="D85" s="19" t="str">
        <f t="shared" si="7"/>
        <v>Oct , 2025</v>
      </c>
      <c r="E85" s="25" t="s">
        <v>61</v>
      </c>
      <c r="F85" s="25" t="s">
        <v>53</v>
      </c>
      <c r="G85" s="25" t="s">
        <v>59</v>
      </c>
      <c r="H85" s="25" t="s">
        <v>55</v>
      </c>
      <c r="I85" s="25" t="s">
        <v>56</v>
      </c>
      <c r="J85" s="25" t="s">
        <v>57</v>
      </c>
      <c r="K85" s="17" t="s">
        <v>2</v>
      </c>
      <c r="L85" s="26">
        <v>5000</v>
      </c>
      <c r="M85" s="26">
        <v>0</v>
      </c>
      <c r="N85" s="35">
        <f t="shared" si="5"/>
        <v>5000</v>
      </c>
      <c r="O85" s="26">
        <v>0</v>
      </c>
      <c r="P85" s="26">
        <v>0</v>
      </c>
      <c r="Q85" s="26">
        <v>0</v>
      </c>
      <c r="R85" s="36">
        <f t="shared" si="6"/>
        <v>5000</v>
      </c>
      <c r="S85" s="27">
        <v>5000</v>
      </c>
      <c r="T85" s="24">
        <f t="shared" si="8"/>
        <v>0</v>
      </c>
      <c r="U85" s="25"/>
      <c r="V85" s="69"/>
      <c r="W85" s="69"/>
      <c r="X85" s="69"/>
    </row>
    <row r="86" spans="1:24" x14ac:dyDescent="0.3">
      <c r="A86" s="25">
        <v>84</v>
      </c>
      <c r="B86" s="30">
        <v>45957</v>
      </c>
      <c r="C86" s="30">
        <v>45957</v>
      </c>
      <c r="D86" s="19" t="str">
        <f t="shared" si="7"/>
        <v>Oct , 2025</v>
      </c>
      <c r="E86" s="25"/>
      <c r="F86" s="25" t="s">
        <v>78</v>
      </c>
      <c r="G86" s="25" t="s">
        <v>59</v>
      </c>
      <c r="H86" s="25" t="s">
        <v>55</v>
      </c>
      <c r="I86" s="25" t="s">
        <v>56</v>
      </c>
      <c r="J86" s="25" t="s">
        <v>140</v>
      </c>
      <c r="K86" s="25" t="s">
        <v>15</v>
      </c>
      <c r="L86" s="26">
        <v>380</v>
      </c>
      <c r="M86" s="26">
        <v>0</v>
      </c>
      <c r="N86" s="35">
        <f t="shared" si="5"/>
        <v>380</v>
      </c>
      <c r="O86" s="26">
        <v>0</v>
      </c>
      <c r="P86" s="26">
        <v>0</v>
      </c>
      <c r="Q86" s="26">
        <v>0</v>
      </c>
      <c r="R86" s="36">
        <f t="shared" si="6"/>
        <v>380</v>
      </c>
      <c r="S86" s="27">
        <v>380</v>
      </c>
      <c r="T86" s="24">
        <f t="shared" si="8"/>
        <v>0</v>
      </c>
      <c r="U86" s="25"/>
      <c r="V86" s="69"/>
      <c r="W86" s="69"/>
      <c r="X86" s="69"/>
    </row>
    <row r="87" spans="1:24" x14ac:dyDescent="0.3">
      <c r="A87" s="17">
        <v>85</v>
      </c>
      <c r="B87" s="30">
        <v>45962</v>
      </c>
      <c r="C87" s="30">
        <v>45968</v>
      </c>
      <c r="D87" s="19" t="str">
        <f t="shared" si="7"/>
        <v>Nov , 2025</v>
      </c>
      <c r="E87" s="25"/>
      <c r="F87" s="25" t="s">
        <v>78</v>
      </c>
      <c r="G87" s="25" t="s">
        <v>100</v>
      </c>
      <c r="H87" s="25" t="s">
        <v>55</v>
      </c>
      <c r="I87" s="25" t="s">
        <v>56</v>
      </c>
      <c r="J87" s="25" t="s">
        <v>141</v>
      </c>
      <c r="K87" s="25" t="s">
        <v>8</v>
      </c>
      <c r="L87" s="26">
        <v>6000</v>
      </c>
      <c r="M87" s="26">
        <v>0</v>
      </c>
      <c r="N87" s="35">
        <f t="shared" si="5"/>
        <v>6000</v>
      </c>
      <c r="O87" s="26">
        <v>0</v>
      </c>
      <c r="P87" s="26">
        <v>0</v>
      </c>
      <c r="Q87" s="26">
        <v>0</v>
      </c>
      <c r="R87" s="36">
        <f t="shared" si="6"/>
        <v>6000</v>
      </c>
      <c r="S87" s="27">
        <v>6000</v>
      </c>
      <c r="T87" s="24">
        <f t="shared" si="8"/>
        <v>0</v>
      </c>
      <c r="U87" s="25"/>
      <c r="V87" s="69"/>
      <c r="W87" s="69"/>
      <c r="X87" s="69"/>
    </row>
    <row r="88" spans="1:24" x14ac:dyDescent="0.3">
      <c r="A88" s="17">
        <v>86</v>
      </c>
      <c r="B88" s="30">
        <v>45965</v>
      </c>
      <c r="C88" s="30">
        <v>45970</v>
      </c>
      <c r="D88" s="19" t="str">
        <f t="shared" si="7"/>
        <v>Nov , 2025</v>
      </c>
      <c r="E88" s="25"/>
      <c r="F88" s="25" t="s">
        <v>81</v>
      </c>
      <c r="G88" s="25" t="s">
        <v>79</v>
      </c>
      <c r="H88" s="25" t="s">
        <v>55</v>
      </c>
      <c r="I88" s="25" t="s">
        <v>56</v>
      </c>
      <c r="J88" s="25" t="s">
        <v>142</v>
      </c>
      <c r="K88" s="25" t="s">
        <v>5</v>
      </c>
      <c r="L88" s="26">
        <v>32903</v>
      </c>
      <c r="M88" s="26">
        <v>0</v>
      </c>
      <c r="N88" s="35">
        <f t="shared" si="5"/>
        <v>32903</v>
      </c>
      <c r="O88" s="26">
        <v>0</v>
      </c>
      <c r="P88" s="26">
        <v>0</v>
      </c>
      <c r="Q88" s="26">
        <v>0</v>
      </c>
      <c r="R88" s="36">
        <f t="shared" si="6"/>
        <v>32903</v>
      </c>
      <c r="S88" s="27">
        <v>32903</v>
      </c>
      <c r="T88" s="24">
        <f t="shared" si="8"/>
        <v>0</v>
      </c>
      <c r="U88" s="25" t="s">
        <v>143</v>
      </c>
      <c r="V88" s="69"/>
      <c r="W88" s="69"/>
      <c r="X88" s="69"/>
    </row>
    <row r="89" spans="1:24" x14ac:dyDescent="0.3">
      <c r="A89" s="25">
        <v>87</v>
      </c>
      <c r="B89" s="30">
        <v>45961</v>
      </c>
      <c r="C89" s="30">
        <v>45961</v>
      </c>
      <c r="D89" s="19" t="str">
        <f t="shared" si="7"/>
        <v>Oct , 2025</v>
      </c>
      <c r="E89" s="25"/>
      <c r="F89" s="25" t="s">
        <v>134</v>
      </c>
      <c r="G89" s="25" t="s">
        <v>59</v>
      </c>
      <c r="H89" s="25" t="s">
        <v>55</v>
      </c>
      <c r="I89" s="25" t="s">
        <v>56</v>
      </c>
      <c r="J89" s="25" t="s">
        <v>95</v>
      </c>
      <c r="K89" s="25" t="s">
        <v>2</v>
      </c>
      <c r="L89" s="26">
        <v>520</v>
      </c>
      <c r="M89" s="26">
        <v>0</v>
      </c>
      <c r="N89" s="35">
        <f t="shared" si="5"/>
        <v>520</v>
      </c>
      <c r="O89" s="26">
        <v>0</v>
      </c>
      <c r="P89" s="26">
        <v>0</v>
      </c>
      <c r="Q89" s="26">
        <v>0</v>
      </c>
      <c r="R89" s="36">
        <f t="shared" si="6"/>
        <v>520</v>
      </c>
      <c r="S89" s="27">
        <v>520</v>
      </c>
      <c r="T89" s="24">
        <f t="shared" si="8"/>
        <v>0</v>
      </c>
      <c r="U89" s="25"/>
      <c r="V89" s="69"/>
      <c r="W89" s="69"/>
      <c r="X89" s="69"/>
    </row>
    <row r="90" spans="1:24" x14ac:dyDescent="0.3">
      <c r="A90" s="17">
        <v>88</v>
      </c>
      <c r="B90" s="30">
        <v>45966</v>
      </c>
      <c r="C90" s="30">
        <v>45966</v>
      </c>
      <c r="D90" s="19" t="str">
        <f t="shared" si="7"/>
        <v>Nov , 2025</v>
      </c>
      <c r="E90" s="25"/>
      <c r="F90" s="25" t="s">
        <v>53</v>
      </c>
      <c r="G90" s="25" t="s">
        <v>59</v>
      </c>
      <c r="H90" s="25" t="s">
        <v>55</v>
      </c>
      <c r="I90" s="25" t="s">
        <v>56</v>
      </c>
      <c r="J90" s="25" t="s">
        <v>57</v>
      </c>
      <c r="K90" s="25" t="s">
        <v>2</v>
      </c>
      <c r="L90" s="26">
        <v>5000</v>
      </c>
      <c r="M90" s="26">
        <v>0</v>
      </c>
      <c r="N90" s="35">
        <f t="shared" si="5"/>
        <v>5000</v>
      </c>
      <c r="O90" s="26">
        <v>0</v>
      </c>
      <c r="P90" s="26">
        <v>0</v>
      </c>
      <c r="Q90" s="26">
        <v>0</v>
      </c>
      <c r="R90" s="36">
        <f t="shared" si="6"/>
        <v>5000</v>
      </c>
      <c r="S90" s="27">
        <v>5000</v>
      </c>
      <c r="T90" s="24">
        <f t="shared" si="8"/>
        <v>0</v>
      </c>
      <c r="U90" s="25"/>
      <c r="V90" s="69"/>
      <c r="W90" s="69"/>
      <c r="X90" s="69"/>
    </row>
    <row r="91" spans="1:24" x14ac:dyDescent="0.3">
      <c r="A91" s="17">
        <v>89</v>
      </c>
      <c r="B91" s="30">
        <v>45967</v>
      </c>
      <c r="C91" s="30">
        <v>45967</v>
      </c>
      <c r="D91" s="19" t="str">
        <f t="shared" si="7"/>
        <v>Nov , 2025</v>
      </c>
      <c r="E91" s="25"/>
      <c r="F91" s="25" t="s">
        <v>53</v>
      </c>
      <c r="G91" s="25" t="s">
        <v>59</v>
      </c>
      <c r="H91" s="25" t="s">
        <v>55</v>
      </c>
      <c r="I91" s="25" t="s">
        <v>56</v>
      </c>
      <c r="J91" s="25" t="s">
        <v>57</v>
      </c>
      <c r="K91" s="25" t="s">
        <v>2</v>
      </c>
      <c r="L91" s="26">
        <v>5000</v>
      </c>
      <c r="M91" s="26">
        <v>0</v>
      </c>
      <c r="N91" s="35">
        <f t="shared" si="5"/>
        <v>5000</v>
      </c>
      <c r="O91" s="26">
        <v>0</v>
      </c>
      <c r="P91" s="26">
        <v>0</v>
      </c>
      <c r="Q91" s="26">
        <v>0</v>
      </c>
      <c r="R91" s="36">
        <f t="shared" si="6"/>
        <v>5000</v>
      </c>
      <c r="S91" s="27">
        <v>5000</v>
      </c>
      <c r="T91" s="24">
        <f t="shared" si="8"/>
        <v>0</v>
      </c>
      <c r="U91" s="25"/>
      <c r="V91" s="69"/>
      <c r="W91" s="69"/>
      <c r="X91" s="69"/>
    </row>
    <row r="92" spans="1:24" x14ac:dyDescent="0.3">
      <c r="A92" s="25">
        <v>90</v>
      </c>
      <c r="B92" s="30">
        <v>45968</v>
      </c>
      <c r="C92" s="30">
        <v>45968</v>
      </c>
      <c r="D92" s="19" t="str">
        <f t="shared" si="7"/>
        <v>Nov , 2025</v>
      </c>
      <c r="E92" s="25"/>
      <c r="F92" s="25" t="s">
        <v>53</v>
      </c>
      <c r="G92" s="25" t="s">
        <v>59</v>
      </c>
      <c r="H92" s="25" t="s">
        <v>55</v>
      </c>
      <c r="I92" s="25" t="s">
        <v>56</v>
      </c>
      <c r="J92" s="25" t="s">
        <v>95</v>
      </c>
      <c r="K92" s="25" t="s">
        <v>2</v>
      </c>
      <c r="L92" s="26">
        <v>510</v>
      </c>
      <c r="M92" s="26">
        <v>0</v>
      </c>
      <c r="N92" s="35">
        <f t="shared" si="5"/>
        <v>510</v>
      </c>
      <c r="O92" s="26">
        <v>0</v>
      </c>
      <c r="P92" s="26">
        <v>0</v>
      </c>
      <c r="Q92" s="26">
        <v>0</v>
      </c>
      <c r="R92" s="36">
        <f t="shared" si="6"/>
        <v>510</v>
      </c>
      <c r="S92" s="27">
        <v>510</v>
      </c>
      <c r="T92" s="24">
        <f t="shared" si="8"/>
        <v>0</v>
      </c>
      <c r="U92" s="25"/>
      <c r="V92" s="69"/>
      <c r="W92" s="69"/>
      <c r="X92" s="69"/>
    </row>
    <row r="93" spans="1:24" x14ac:dyDescent="0.3">
      <c r="A93" s="17">
        <v>91</v>
      </c>
      <c r="B93" s="30">
        <v>45974</v>
      </c>
      <c r="C93" s="30">
        <v>45974</v>
      </c>
      <c r="D93" s="19" t="str">
        <f t="shared" si="7"/>
        <v>Nov , 2025</v>
      </c>
      <c r="E93" s="25"/>
      <c r="F93" s="47" t="s">
        <v>94</v>
      </c>
      <c r="G93" s="25" t="s">
        <v>59</v>
      </c>
      <c r="H93" s="25" t="s">
        <v>55</v>
      </c>
      <c r="I93" s="25" t="s">
        <v>56</v>
      </c>
      <c r="J93" s="25" t="s">
        <v>95</v>
      </c>
      <c r="K93" s="25" t="s">
        <v>2</v>
      </c>
      <c r="L93" s="26">
        <v>520</v>
      </c>
      <c r="M93" s="26">
        <v>0</v>
      </c>
      <c r="N93" s="35">
        <f t="shared" si="5"/>
        <v>520</v>
      </c>
      <c r="O93" s="26">
        <v>0</v>
      </c>
      <c r="P93" s="26">
        <v>0</v>
      </c>
      <c r="Q93" s="26">
        <v>0</v>
      </c>
      <c r="R93" s="36">
        <f t="shared" si="6"/>
        <v>520</v>
      </c>
      <c r="S93" s="27">
        <v>520</v>
      </c>
      <c r="T93" s="24">
        <f t="shared" si="8"/>
        <v>0</v>
      </c>
      <c r="U93" s="25"/>
      <c r="V93" s="69"/>
      <c r="W93" s="69"/>
      <c r="X93" s="69"/>
    </row>
    <row r="94" spans="1:24" x14ac:dyDescent="0.3">
      <c r="A94" s="17">
        <v>92</v>
      </c>
      <c r="B94" s="30">
        <v>45978</v>
      </c>
      <c r="C94" s="30">
        <v>46007</v>
      </c>
      <c r="D94" s="19" t="str">
        <f t="shared" si="7"/>
        <v>Nov , 2025</v>
      </c>
      <c r="E94" s="25"/>
      <c r="F94" s="47" t="s">
        <v>81</v>
      </c>
      <c r="G94" s="25" t="s">
        <v>79</v>
      </c>
      <c r="H94" s="25" t="s">
        <v>55</v>
      </c>
      <c r="I94" s="25" t="s">
        <v>56</v>
      </c>
      <c r="J94" s="25" t="s">
        <v>144</v>
      </c>
      <c r="K94" s="25" t="s">
        <v>5</v>
      </c>
      <c r="L94" s="26">
        <v>8225.81</v>
      </c>
      <c r="M94" s="26">
        <v>0</v>
      </c>
      <c r="N94" s="35">
        <f t="shared" si="5"/>
        <v>8225.81</v>
      </c>
      <c r="O94" s="26">
        <v>0</v>
      </c>
      <c r="P94" s="26">
        <v>0</v>
      </c>
      <c r="Q94" s="26">
        <v>0</v>
      </c>
      <c r="R94" s="36">
        <f t="shared" si="6"/>
        <v>8225.81</v>
      </c>
      <c r="S94" s="27">
        <v>8225.81</v>
      </c>
      <c r="T94" s="24">
        <f t="shared" si="8"/>
        <v>0</v>
      </c>
      <c r="U94" s="25"/>
      <c r="V94" s="69"/>
      <c r="W94" s="69"/>
      <c r="X94" s="69"/>
    </row>
    <row r="95" spans="1:24" x14ac:dyDescent="0.3">
      <c r="A95" s="25">
        <v>93</v>
      </c>
      <c r="B95" s="30">
        <v>45961</v>
      </c>
      <c r="C95" s="30">
        <v>45972</v>
      </c>
      <c r="D95" s="19" t="str">
        <f t="shared" si="7"/>
        <v>Oct , 2025</v>
      </c>
      <c r="E95" s="25"/>
      <c r="F95" s="25" t="s">
        <v>11</v>
      </c>
      <c r="G95" s="25" t="s">
        <v>70</v>
      </c>
      <c r="H95" s="25" t="s">
        <v>55</v>
      </c>
      <c r="I95" s="25" t="s">
        <v>56</v>
      </c>
      <c r="J95" s="25" t="s">
        <v>145</v>
      </c>
      <c r="K95" s="25" t="s">
        <v>11</v>
      </c>
      <c r="L95" s="26">
        <v>128000</v>
      </c>
      <c r="M95" s="26">
        <v>0</v>
      </c>
      <c r="N95" s="35">
        <f t="shared" si="5"/>
        <v>128000</v>
      </c>
      <c r="O95" s="26">
        <v>0</v>
      </c>
      <c r="P95" s="26">
        <v>6886</v>
      </c>
      <c r="Q95" s="26">
        <v>0</v>
      </c>
      <c r="R95" s="36">
        <f t="shared" si="6"/>
        <v>121114</v>
      </c>
      <c r="S95" s="27">
        <v>115114</v>
      </c>
      <c r="T95" s="24">
        <f t="shared" si="8"/>
        <v>6000</v>
      </c>
      <c r="U95" s="25"/>
      <c r="V95" s="69"/>
      <c r="W95" s="69"/>
      <c r="X95" s="69"/>
    </row>
    <row r="96" spans="1:24" x14ac:dyDescent="0.3">
      <c r="A96" s="17">
        <v>94</v>
      </c>
      <c r="B96" s="30">
        <v>45978</v>
      </c>
      <c r="C96" s="30">
        <v>45978</v>
      </c>
      <c r="D96" s="19" t="str">
        <f t="shared" si="7"/>
        <v>Nov , 2025</v>
      </c>
      <c r="E96" s="25"/>
      <c r="F96" s="25" t="s">
        <v>134</v>
      </c>
      <c r="G96" s="25" t="s">
        <v>59</v>
      </c>
      <c r="H96" s="25" t="s">
        <v>55</v>
      </c>
      <c r="I96" s="25" t="s">
        <v>56</v>
      </c>
      <c r="J96" s="25" t="s">
        <v>95</v>
      </c>
      <c r="K96" s="25" t="s">
        <v>2</v>
      </c>
      <c r="L96" s="26">
        <v>520</v>
      </c>
      <c r="M96" s="26">
        <v>0</v>
      </c>
      <c r="N96" s="35">
        <f t="shared" si="5"/>
        <v>520</v>
      </c>
      <c r="O96" s="26">
        <v>0</v>
      </c>
      <c r="P96" s="26"/>
      <c r="Q96" s="26"/>
      <c r="R96" s="36">
        <f t="shared" si="6"/>
        <v>520</v>
      </c>
      <c r="S96" s="27">
        <v>520</v>
      </c>
      <c r="T96" s="24">
        <f t="shared" si="8"/>
        <v>0</v>
      </c>
      <c r="U96" s="25"/>
      <c r="V96" s="69"/>
      <c r="W96" s="69"/>
      <c r="X96" s="69"/>
    </row>
    <row r="97" spans="1:24" x14ac:dyDescent="0.3">
      <c r="A97" s="17">
        <v>95</v>
      </c>
      <c r="B97" s="30">
        <v>45975</v>
      </c>
      <c r="C97" s="30">
        <v>46007</v>
      </c>
      <c r="D97" s="19" t="str">
        <f t="shared" si="7"/>
        <v>Nov , 2025</v>
      </c>
      <c r="E97" s="25"/>
      <c r="F97" s="25" t="s">
        <v>146</v>
      </c>
      <c r="G97" s="25" t="s">
        <v>79</v>
      </c>
      <c r="H97" s="25" t="s">
        <v>55</v>
      </c>
      <c r="I97" s="25" t="s">
        <v>56</v>
      </c>
      <c r="J97" s="25" t="s">
        <v>147</v>
      </c>
      <c r="K97" s="25" t="s">
        <v>5</v>
      </c>
      <c r="L97" s="26">
        <v>3300</v>
      </c>
      <c r="M97" s="26">
        <v>0</v>
      </c>
      <c r="N97" s="35">
        <f t="shared" si="5"/>
        <v>3300</v>
      </c>
      <c r="O97" s="26">
        <v>0</v>
      </c>
      <c r="P97" s="26">
        <v>0</v>
      </c>
      <c r="Q97" s="26">
        <v>0</v>
      </c>
      <c r="R97" s="36">
        <f t="shared" si="6"/>
        <v>3300</v>
      </c>
      <c r="S97" s="27">
        <v>3300</v>
      </c>
      <c r="T97" s="24">
        <f t="shared" si="8"/>
        <v>0</v>
      </c>
      <c r="U97" s="25"/>
      <c r="V97" s="69"/>
      <c r="W97" s="69"/>
      <c r="X97" s="69"/>
    </row>
    <row r="98" spans="1:24" x14ac:dyDescent="0.3">
      <c r="A98" s="25">
        <v>96</v>
      </c>
      <c r="B98" s="30">
        <v>45900</v>
      </c>
      <c r="C98" s="30">
        <v>45911</v>
      </c>
      <c r="D98" s="19" t="str">
        <f t="shared" si="7"/>
        <v>Aug , 2025</v>
      </c>
      <c r="E98" s="25"/>
      <c r="F98" s="25" t="s">
        <v>11</v>
      </c>
      <c r="G98" s="25" t="s">
        <v>70</v>
      </c>
      <c r="H98" s="25" t="s">
        <v>55</v>
      </c>
      <c r="I98" s="25" t="s">
        <v>56</v>
      </c>
      <c r="J98" s="25" t="s">
        <v>148</v>
      </c>
      <c r="K98" s="25" t="s">
        <v>11</v>
      </c>
      <c r="L98" s="26">
        <v>128000</v>
      </c>
      <c r="M98" s="26">
        <v>0</v>
      </c>
      <c r="N98" s="35">
        <f t="shared" si="5"/>
        <v>128000</v>
      </c>
      <c r="O98" s="26">
        <v>0</v>
      </c>
      <c r="P98" s="26">
        <v>6885.6</v>
      </c>
      <c r="Q98" s="26">
        <v>0</v>
      </c>
      <c r="R98" s="36">
        <f t="shared" si="6"/>
        <v>121114.4</v>
      </c>
      <c r="S98" s="27">
        <v>121114</v>
      </c>
      <c r="T98" s="24">
        <f t="shared" si="8"/>
        <v>0.39999999999417923</v>
      </c>
      <c r="U98" s="25"/>
      <c r="V98" s="69"/>
      <c r="W98" s="69"/>
      <c r="X98" s="69"/>
    </row>
    <row r="99" spans="1:24" x14ac:dyDescent="0.3">
      <c r="A99" s="17">
        <v>97</v>
      </c>
      <c r="B99" s="30">
        <v>45933</v>
      </c>
      <c r="C99" s="30">
        <v>45916</v>
      </c>
      <c r="D99" s="19" t="str">
        <f t="shared" si="7"/>
        <v>Oct , 2025</v>
      </c>
      <c r="E99" s="25" t="s">
        <v>149</v>
      </c>
      <c r="F99" s="25" t="s">
        <v>150</v>
      </c>
      <c r="G99" s="25" t="s">
        <v>70</v>
      </c>
      <c r="H99" s="25" t="s">
        <v>55</v>
      </c>
      <c r="I99" s="25" t="s">
        <v>56</v>
      </c>
      <c r="J99" s="25" t="s">
        <v>151</v>
      </c>
      <c r="K99" s="25" t="s">
        <v>3</v>
      </c>
      <c r="L99" s="26">
        <v>175000</v>
      </c>
      <c r="M99" s="26">
        <f>L99*18%</f>
        <v>31500</v>
      </c>
      <c r="N99" s="35">
        <f t="shared" si="5"/>
        <v>206500</v>
      </c>
      <c r="O99" s="26">
        <f>L99*10%</f>
        <v>17500</v>
      </c>
      <c r="P99" s="26"/>
      <c r="Q99" s="26"/>
      <c r="R99" s="36">
        <f t="shared" si="6"/>
        <v>189000</v>
      </c>
      <c r="S99" s="27">
        <v>175000</v>
      </c>
      <c r="T99" s="24">
        <f t="shared" si="8"/>
        <v>14000</v>
      </c>
      <c r="U99" s="25"/>
      <c r="V99" s="69"/>
      <c r="W99" s="69"/>
      <c r="X99" s="69"/>
    </row>
    <row r="100" spans="1:24" x14ac:dyDescent="0.3">
      <c r="A100" s="17">
        <v>98</v>
      </c>
      <c r="B100" s="48">
        <v>45984</v>
      </c>
      <c r="C100" s="48">
        <v>45984</v>
      </c>
      <c r="D100" s="19" t="str">
        <f t="shared" si="7"/>
        <v>Nov , 2025</v>
      </c>
      <c r="E100" s="49" t="s">
        <v>152</v>
      </c>
      <c r="F100" s="49" t="s">
        <v>134</v>
      </c>
      <c r="G100" s="49" t="s">
        <v>59</v>
      </c>
      <c r="H100" s="49" t="s">
        <v>55</v>
      </c>
      <c r="I100" s="49" t="s">
        <v>56</v>
      </c>
      <c r="J100" s="49" t="s">
        <v>95</v>
      </c>
      <c r="K100" s="49" t="s">
        <v>2</v>
      </c>
      <c r="L100" s="50">
        <v>310</v>
      </c>
      <c r="M100" s="50"/>
      <c r="N100" s="51">
        <f t="shared" si="5"/>
        <v>310</v>
      </c>
      <c r="O100" s="50"/>
      <c r="P100" s="50"/>
      <c r="Q100" s="50"/>
      <c r="R100" s="51">
        <f t="shared" si="6"/>
        <v>310</v>
      </c>
      <c r="S100" s="50">
        <v>310</v>
      </c>
      <c r="T100" s="52">
        <f t="shared" si="8"/>
        <v>0</v>
      </c>
      <c r="U100" s="49"/>
      <c r="V100" s="69"/>
      <c r="W100" s="69"/>
      <c r="X100" s="69"/>
    </row>
    <row r="101" spans="1:24" x14ac:dyDescent="0.3">
      <c r="A101" s="25">
        <v>99</v>
      </c>
      <c r="B101" s="48">
        <v>45930</v>
      </c>
      <c r="C101" s="48">
        <v>45940</v>
      </c>
      <c r="D101" s="19" t="str">
        <f t="shared" si="7"/>
        <v>Sep , 2025</v>
      </c>
      <c r="E101" s="49"/>
      <c r="F101" s="49" t="s">
        <v>11</v>
      </c>
      <c r="G101" s="49" t="s">
        <v>70</v>
      </c>
      <c r="H101" s="49" t="s">
        <v>55</v>
      </c>
      <c r="I101" s="49" t="s">
        <v>56</v>
      </c>
      <c r="J101" s="49" t="s">
        <v>153</v>
      </c>
      <c r="K101" s="49" t="s">
        <v>11</v>
      </c>
      <c r="L101" s="50">
        <v>148000</v>
      </c>
      <c r="M101" s="50"/>
      <c r="N101" s="51">
        <f t="shared" si="5"/>
        <v>148000</v>
      </c>
      <c r="O101" s="50"/>
      <c r="P101" s="50">
        <v>10171</v>
      </c>
      <c r="Q101" s="50">
        <v>548</v>
      </c>
      <c r="R101" s="51">
        <f t="shared" si="6"/>
        <v>137281</v>
      </c>
      <c r="S101" s="50">
        <v>137281</v>
      </c>
      <c r="T101" s="52">
        <f t="shared" si="8"/>
        <v>0</v>
      </c>
      <c r="U101" s="49"/>
      <c r="V101" s="69"/>
      <c r="W101" s="69"/>
      <c r="X101" s="69"/>
    </row>
    <row r="102" spans="1:24" x14ac:dyDescent="0.3">
      <c r="A102" s="17">
        <v>100</v>
      </c>
      <c r="B102" s="48">
        <v>45989</v>
      </c>
      <c r="C102" s="48">
        <v>45989</v>
      </c>
      <c r="D102" s="19" t="str">
        <f t="shared" si="7"/>
        <v>Nov , 2025</v>
      </c>
      <c r="E102" s="49" t="s">
        <v>154</v>
      </c>
      <c r="F102" s="49" t="s">
        <v>134</v>
      </c>
      <c r="G102" s="49" t="s">
        <v>59</v>
      </c>
      <c r="H102" s="49" t="s">
        <v>55</v>
      </c>
      <c r="I102" s="49" t="s">
        <v>56</v>
      </c>
      <c r="J102" s="25" t="s">
        <v>155</v>
      </c>
      <c r="K102" s="49" t="s">
        <v>2</v>
      </c>
      <c r="L102" s="50">
        <v>310</v>
      </c>
      <c r="M102" s="50"/>
      <c r="N102" s="51">
        <f t="shared" si="5"/>
        <v>310</v>
      </c>
      <c r="O102" s="50"/>
      <c r="P102" s="50"/>
      <c r="Q102" s="50"/>
      <c r="R102" s="51">
        <f t="shared" si="6"/>
        <v>310</v>
      </c>
      <c r="S102" s="50">
        <v>310</v>
      </c>
      <c r="T102" s="52">
        <f t="shared" si="8"/>
        <v>0</v>
      </c>
      <c r="U102" s="49"/>
      <c r="V102" s="69"/>
      <c r="W102" s="69"/>
      <c r="X102" s="69"/>
    </row>
    <row r="103" spans="1:24" x14ac:dyDescent="0.3">
      <c r="A103" s="17">
        <v>101</v>
      </c>
      <c r="B103" s="48">
        <v>45979</v>
      </c>
      <c r="C103" s="48">
        <v>45992</v>
      </c>
      <c r="D103" s="19" t="str">
        <f t="shared" si="7"/>
        <v>Nov , 2025</v>
      </c>
      <c r="E103" s="25" t="s">
        <v>156</v>
      </c>
      <c r="F103" s="49" t="s">
        <v>150</v>
      </c>
      <c r="G103" s="49" t="s">
        <v>70</v>
      </c>
      <c r="H103" s="49" t="s">
        <v>55</v>
      </c>
      <c r="I103" s="49" t="s">
        <v>56</v>
      </c>
      <c r="J103" s="25" t="s">
        <v>151</v>
      </c>
      <c r="K103" s="49" t="s">
        <v>3</v>
      </c>
      <c r="L103" s="50">
        <v>175000</v>
      </c>
      <c r="M103" s="50">
        <f>L103*18%</f>
        <v>31500</v>
      </c>
      <c r="N103" s="51">
        <f t="shared" si="5"/>
        <v>206500</v>
      </c>
      <c r="O103" s="50">
        <f>L103*10%</f>
        <v>17500</v>
      </c>
      <c r="P103" s="50"/>
      <c r="Q103" s="50"/>
      <c r="R103" s="51">
        <f t="shared" si="6"/>
        <v>189000</v>
      </c>
      <c r="S103" s="50">
        <v>157500</v>
      </c>
      <c r="T103" s="52">
        <f t="shared" si="8"/>
        <v>31500</v>
      </c>
      <c r="U103" s="49"/>
      <c r="V103" s="69"/>
      <c r="W103" s="69"/>
      <c r="X103" s="69"/>
    </row>
    <row r="104" spans="1:24" x14ac:dyDescent="0.3">
      <c r="A104" s="25">
        <v>102</v>
      </c>
      <c r="B104" s="53">
        <v>45991</v>
      </c>
      <c r="C104" s="53">
        <v>46007</v>
      </c>
      <c r="D104" s="19" t="str">
        <f t="shared" si="7"/>
        <v>Nov , 2025</v>
      </c>
      <c r="E104" s="54"/>
      <c r="F104" s="54" t="s">
        <v>11</v>
      </c>
      <c r="G104" s="54" t="s">
        <v>157</v>
      </c>
      <c r="H104" s="55" t="s">
        <v>55</v>
      </c>
      <c r="I104" s="55" t="s">
        <v>56</v>
      </c>
      <c r="J104" s="54" t="s">
        <v>158</v>
      </c>
      <c r="K104" s="54" t="s">
        <v>11</v>
      </c>
      <c r="L104" s="56">
        <v>148000</v>
      </c>
      <c r="M104" s="56"/>
      <c r="N104" s="57">
        <f t="shared" si="5"/>
        <v>148000</v>
      </c>
      <c r="O104" s="56"/>
      <c r="P104" s="56">
        <v>10171.200000000001</v>
      </c>
      <c r="Q104" s="26">
        <v>547.6</v>
      </c>
      <c r="R104" s="36">
        <f t="shared" si="6"/>
        <v>137281.19999999998</v>
      </c>
      <c r="S104" s="27">
        <v>131281</v>
      </c>
      <c r="T104" s="24">
        <f t="shared" si="8"/>
        <v>6000.1999999999825</v>
      </c>
      <c r="U104" s="25" t="s">
        <v>159</v>
      </c>
      <c r="V104" s="69"/>
      <c r="W104" s="69"/>
      <c r="X104" s="69"/>
    </row>
    <row r="105" spans="1:24" x14ac:dyDescent="0.3">
      <c r="A105" s="17">
        <v>103</v>
      </c>
      <c r="B105" s="58">
        <v>46007</v>
      </c>
      <c r="C105" s="58">
        <v>46007</v>
      </c>
      <c r="D105" s="19" t="str">
        <f t="shared" si="7"/>
        <v>Dec , 2025</v>
      </c>
      <c r="E105" s="32"/>
      <c r="F105" s="25" t="s">
        <v>78</v>
      </c>
      <c r="G105" s="32" t="s">
        <v>79</v>
      </c>
      <c r="H105" s="55" t="s">
        <v>55</v>
      </c>
      <c r="I105" s="55" t="s">
        <v>56</v>
      </c>
      <c r="J105" s="32" t="s">
        <v>160</v>
      </c>
      <c r="K105" s="32" t="s">
        <v>8</v>
      </c>
      <c r="L105" s="59">
        <v>6000</v>
      </c>
      <c r="M105" s="59"/>
      <c r="N105" s="35">
        <f t="shared" si="5"/>
        <v>6000</v>
      </c>
      <c r="O105" s="59"/>
      <c r="P105" s="59"/>
      <c r="Q105" s="60"/>
      <c r="R105" s="36">
        <f t="shared" si="6"/>
        <v>6000</v>
      </c>
      <c r="S105" s="27">
        <v>6000</v>
      </c>
      <c r="T105" s="24">
        <f t="shared" si="8"/>
        <v>0</v>
      </c>
      <c r="U105" s="25"/>
      <c r="V105" s="69"/>
      <c r="W105" s="69"/>
      <c r="X105" s="69"/>
    </row>
    <row r="106" spans="1:24" x14ac:dyDescent="0.3">
      <c r="A106" s="17">
        <v>104</v>
      </c>
      <c r="B106" s="61">
        <v>45991</v>
      </c>
      <c r="C106" s="61">
        <v>46009</v>
      </c>
      <c r="D106" s="19" t="str">
        <f t="shared" si="7"/>
        <v>Nov , 2025</v>
      </c>
      <c r="E106" s="62"/>
      <c r="F106" s="62" t="s">
        <v>161</v>
      </c>
      <c r="G106" s="62" t="s">
        <v>79</v>
      </c>
      <c r="H106" s="55" t="s">
        <v>55</v>
      </c>
      <c r="I106" s="55" t="s">
        <v>56</v>
      </c>
      <c r="J106" s="62" t="s">
        <v>162</v>
      </c>
      <c r="K106" s="62" t="s">
        <v>15</v>
      </c>
      <c r="L106" s="63">
        <v>6000</v>
      </c>
      <c r="M106" s="63"/>
      <c r="N106" s="64">
        <f t="shared" si="5"/>
        <v>6000</v>
      </c>
      <c r="O106" s="63"/>
      <c r="P106" s="63"/>
      <c r="Q106" s="26"/>
      <c r="R106" s="36">
        <f t="shared" si="6"/>
        <v>6000</v>
      </c>
      <c r="S106" s="27">
        <v>6000</v>
      </c>
      <c r="T106" s="24">
        <f t="shared" si="8"/>
        <v>0</v>
      </c>
      <c r="U106" s="25"/>
      <c r="V106" s="69"/>
      <c r="W106" s="69"/>
      <c r="X106" s="69"/>
    </row>
    <row r="107" spans="1:24" x14ac:dyDescent="0.3">
      <c r="A107" s="25">
        <v>105</v>
      </c>
      <c r="B107" s="61">
        <v>45991</v>
      </c>
      <c r="C107" s="61">
        <v>46009</v>
      </c>
      <c r="D107" s="19" t="str">
        <f t="shared" si="7"/>
        <v>Nov , 2025</v>
      </c>
      <c r="E107" s="25"/>
      <c r="F107" s="25" t="s">
        <v>161</v>
      </c>
      <c r="G107" s="25" t="s">
        <v>79</v>
      </c>
      <c r="H107" s="55" t="s">
        <v>55</v>
      </c>
      <c r="I107" s="55" t="s">
        <v>56</v>
      </c>
      <c r="J107" s="25" t="s">
        <v>163</v>
      </c>
      <c r="K107" s="25" t="s">
        <v>14</v>
      </c>
      <c r="L107" s="26">
        <v>10000</v>
      </c>
      <c r="M107" s="26"/>
      <c r="N107" s="35">
        <f t="shared" si="5"/>
        <v>10000</v>
      </c>
      <c r="O107" s="26"/>
      <c r="P107" s="26"/>
      <c r="Q107" s="26"/>
      <c r="R107" s="36">
        <f t="shared" si="6"/>
        <v>10000</v>
      </c>
      <c r="S107" s="27">
        <v>10000</v>
      </c>
      <c r="T107" s="24">
        <f t="shared" si="8"/>
        <v>0</v>
      </c>
      <c r="U107" s="25"/>
      <c r="V107" s="69"/>
      <c r="W107" s="69"/>
      <c r="X107" s="69"/>
    </row>
    <row r="108" spans="1:24" x14ac:dyDescent="0.3">
      <c r="A108" s="17">
        <v>106</v>
      </c>
      <c r="B108" s="65">
        <v>46015</v>
      </c>
      <c r="C108" s="65">
        <v>46006</v>
      </c>
      <c r="D108" s="19" t="str">
        <f t="shared" si="7"/>
        <v>Dec , 2025</v>
      </c>
      <c r="E108" s="49">
        <v>45</v>
      </c>
      <c r="F108" s="49" t="s">
        <v>120</v>
      </c>
      <c r="G108" s="49" t="s">
        <v>157</v>
      </c>
      <c r="H108" s="66" t="s">
        <v>55</v>
      </c>
      <c r="I108" s="66" t="s">
        <v>56</v>
      </c>
      <c r="J108" s="49" t="s">
        <v>121</v>
      </c>
      <c r="K108" s="49" t="s">
        <v>4</v>
      </c>
      <c r="L108" s="50">
        <v>82800</v>
      </c>
      <c r="M108" s="50">
        <f>L108*18%</f>
        <v>14904</v>
      </c>
      <c r="N108" s="51">
        <f t="shared" si="5"/>
        <v>97704</v>
      </c>
      <c r="O108" s="50">
        <f>L108*1%</f>
        <v>828</v>
      </c>
      <c r="P108" s="50"/>
      <c r="Q108" s="50"/>
      <c r="R108" s="51">
        <f t="shared" si="6"/>
        <v>96876</v>
      </c>
      <c r="S108" s="50">
        <v>96876</v>
      </c>
      <c r="T108" s="52">
        <f t="shared" si="8"/>
        <v>0</v>
      </c>
      <c r="U108" s="50">
        <v>108606</v>
      </c>
      <c r="V108" s="69"/>
      <c r="W108" s="74"/>
      <c r="X108" s="69"/>
    </row>
    <row r="109" spans="1:24" x14ac:dyDescent="0.3">
      <c r="A109" s="17">
        <v>107</v>
      </c>
      <c r="B109" s="30">
        <v>46019</v>
      </c>
      <c r="C109" s="30">
        <v>46019</v>
      </c>
      <c r="D109" s="19" t="str">
        <f t="shared" si="7"/>
        <v>Dec , 2025</v>
      </c>
      <c r="E109" s="25"/>
      <c r="F109" s="25" t="s">
        <v>164</v>
      </c>
      <c r="G109" s="25" t="s">
        <v>165</v>
      </c>
      <c r="H109" s="25" t="s">
        <v>55</v>
      </c>
      <c r="I109" s="25" t="s">
        <v>56</v>
      </c>
      <c r="J109" s="25" t="s">
        <v>166</v>
      </c>
      <c r="K109" s="25" t="s">
        <v>10</v>
      </c>
      <c r="L109" s="26">
        <v>7600</v>
      </c>
      <c r="M109" s="26"/>
      <c r="N109" s="35">
        <f t="shared" si="5"/>
        <v>7600</v>
      </c>
      <c r="O109" s="26"/>
      <c r="P109" s="26"/>
      <c r="Q109" s="26"/>
      <c r="R109" s="36">
        <f t="shared" si="6"/>
        <v>7600</v>
      </c>
      <c r="S109" s="27">
        <v>7600</v>
      </c>
      <c r="T109" s="24">
        <f t="shared" si="8"/>
        <v>0</v>
      </c>
      <c r="U109" s="25"/>
      <c r="V109" s="69"/>
      <c r="W109" s="69"/>
      <c r="X109" s="69"/>
    </row>
    <row r="110" spans="1:24" x14ac:dyDescent="0.3">
      <c r="A110" s="25">
        <v>108</v>
      </c>
      <c r="B110" s="30">
        <v>46020</v>
      </c>
      <c r="C110" s="30">
        <v>46020</v>
      </c>
      <c r="D110" s="19" t="str">
        <f t="shared" si="7"/>
        <v>Dec , 2025</v>
      </c>
      <c r="E110" s="25"/>
      <c r="F110" s="49" t="s">
        <v>134</v>
      </c>
      <c r="G110" s="25" t="s">
        <v>165</v>
      </c>
      <c r="H110" s="25" t="s">
        <v>55</v>
      </c>
      <c r="I110" s="25" t="s">
        <v>56</v>
      </c>
      <c r="J110" s="25" t="s">
        <v>155</v>
      </c>
      <c r="K110" s="25" t="s">
        <v>2</v>
      </c>
      <c r="L110" s="26">
        <v>400</v>
      </c>
      <c r="M110" s="26"/>
      <c r="N110" s="35">
        <f t="shared" si="5"/>
        <v>400</v>
      </c>
      <c r="O110" s="26"/>
      <c r="P110" s="26"/>
      <c r="Q110" s="26"/>
      <c r="R110" s="36">
        <f t="shared" si="6"/>
        <v>400</v>
      </c>
      <c r="S110" s="27">
        <v>400</v>
      </c>
      <c r="T110" s="24">
        <f t="shared" si="8"/>
        <v>0</v>
      </c>
      <c r="U110" s="25"/>
      <c r="V110" s="69"/>
      <c r="W110" s="69"/>
      <c r="X110" s="69"/>
    </row>
    <row r="111" spans="1:24" x14ac:dyDescent="0.3">
      <c r="A111" s="17">
        <v>109</v>
      </c>
      <c r="B111" s="30">
        <v>46030</v>
      </c>
      <c r="C111" s="30">
        <v>46036</v>
      </c>
      <c r="D111" s="19" t="str">
        <f t="shared" si="7"/>
        <v>Jan , 2026</v>
      </c>
      <c r="E111" s="25"/>
      <c r="F111" s="25" t="s">
        <v>78</v>
      </c>
      <c r="G111" s="25" t="s">
        <v>100</v>
      </c>
      <c r="H111" s="25" t="s">
        <v>55</v>
      </c>
      <c r="I111" s="25" t="s">
        <v>56</v>
      </c>
      <c r="J111" s="25" t="s">
        <v>167</v>
      </c>
      <c r="K111" s="25" t="s">
        <v>8</v>
      </c>
      <c r="L111" s="26">
        <v>6000</v>
      </c>
      <c r="M111" s="26"/>
      <c r="N111" s="35">
        <f t="shared" si="5"/>
        <v>6000</v>
      </c>
      <c r="O111" s="26"/>
      <c r="P111" s="26"/>
      <c r="Q111" s="26"/>
      <c r="R111" s="36">
        <f t="shared" si="6"/>
        <v>6000</v>
      </c>
      <c r="S111" s="27">
        <v>6000</v>
      </c>
      <c r="T111" s="24">
        <f t="shared" si="8"/>
        <v>0</v>
      </c>
      <c r="U111" s="25"/>
      <c r="V111" s="69"/>
      <c r="W111" s="69"/>
      <c r="X111" s="69"/>
    </row>
    <row r="112" spans="1:24" x14ac:dyDescent="0.3">
      <c r="A112" s="17">
        <v>110</v>
      </c>
      <c r="B112" s="30">
        <v>46037</v>
      </c>
      <c r="C112" s="30">
        <v>46037</v>
      </c>
      <c r="D112" s="19" t="str">
        <f t="shared" si="7"/>
        <v>Jan , 2026</v>
      </c>
      <c r="E112" s="25"/>
      <c r="F112" s="25" t="s">
        <v>78</v>
      </c>
      <c r="G112" s="25" t="s">
        <v>59</v>
      </c>
      <c r="H112" s="25" t="s">
        <v>55</v>
      </c>
      <c r="I112" s="25" t="s">
        <v>56</v>
      </c>
      <c r="J112" s="25" t="s">
        <v>168</v>
      </c>
      <c r="K112" s="25" t="s">
        <v>15</v>
      </c>
      <c r="L112" s="26">
        <v>1208</v>
      </c>
      <c r="M112" s="26"/>
      <c r="N112" s="35">
        <f t="shared" si="5"/>
        <v>1208</v>
      </c>
      <c r="O112" s="26"/>
      <c r="P112" s="26"/>
      <c r="Q112" s="26"/>
      <c r="R112" s="36">
        <f t="shared" si="6"/>
        <v>1208</v>
      </c>
      <c r="S112" s="27">
        <v>1208</v>
      </c>
      <c r="T112" s="24">
        <f t="shared" si="8"/>
        <v>0</v>
      </c>
      <c r="U112" s="25"/>
      <c r="V112" s="69"/>
      <c r="W112" s="69"/>
      <c r="X112" s="69"/>
    </row>
    <row r="113" spans="1:24" x14ac:dyDescent="0.3">
      <c r="A113" s="25">
        <v>111</v>
      </c>
      <c r="B113" s="30">
        <v>46037</v>
      </c>
      <c r="C113" s="30">
        <v>46037</v>
      </c>
      <c r="D113" s="19" t="str">
        <f t="shared" si="7"/>
        <v>Jan , 2026</v>
      </c>
      <c r="E113" s="25"/>
      <c r="F113" s="25" t="s">
        <v>134</v>
      </c>
      <c r="G113" s="25" t="s">
        <v>59</v>
      </c>
      <c r="H113" s="25" t="s">
        <v>55</v>
      </c>
      <c r="I113" s="25" t="s">
        <v>56</v>
      </c>
      <c r="J113" s="25" t="s">
        <v>155</v>
      </c>
      <c r="K113" s="25" t="s">
        <v>2</v>
      </c>
      <c r="L113" s="26">
        <v>110</v>
      </c>
      <c r="M113" s="26"/>
      <c r="N113" s="35">
        <f t="shared" si="5"/>
        <v>110</v>
      </c>
      <c r="O113" s="26"/>
      <c r="P113" s="26"/>
      <c r="Q113" s="26"/>
      <c r="R113" s="36">
        <f t="shared" si="6"/>
        <v>110</v>
      </c>
      <c r="S113" s="27">
        <v>110</v>
      </c>
      <c r="T113" s="24">
        <f t="shared" si="8"/>
        <v>0</v>
      </c>
      <c r="U113" s="25" t="s">
        <v>169</v>
      </c>
      <c r="V113" s="69"/>
      <c r="W113" s="69"/>
      <c r="X113" s="69"/>
    </row>
    <row r="114" spans="1:24" x14ac:dyDescent="0.3">
      <c r="A114" s="17">
        <v>112</v>
      </c>
      <c r="B114" s="30">
        <v>46039</v>
      </c>
      <c r="C114" s="30">
        <v>46039</v>
      </c>
      <c r="D114" s="19" t="str">
        <f t="shared" si="7"/>
        <v>Jan , 2026</v>
      </c>
      <c r="E114" s="25"/>
      <c r="F114" s="25" t="s">
        <v>170</v>
      </c>
      <c r="G114" s="25" t="s">
        <v>59</v>
      </c>
      <c r="H114" s="25" t="s">
        <v>55</v>
      </c>
      <c r="I114" s="25" t="s">
        <v>56</v>
      </c>
      <c r="J114" s="25" t="s">
        <v>155</v>
      </c>
      <c r="K114" s="25" t="s">
        <v>2</v>
      </c>
      <c r="L114" s="26">
        <v>520</v>
      </c>
      <c r="M114" s="26"/>
      <c r="N114" s="35">
        <f t="shared" si="5"/>
        <v>520</v>
      </c>
      <c r="O114" s="26"/>
      <c r="P114" s="26"/>
      <c r="Q114" s="26"/>
      <c r="R114" s="36">
        <f t="shared" si="6"/>
        <v>520</v>
      </c>
      <c r="S114" s="27">
        <v>520</v>
      </c>
      <c r="T114" s="24">
        <f t="shared" si="8"/>
        <v>0</v>
      </c>
      <c r="U114" s="25"/>
      <c r="V114" s="69"/>
      <c r="W114" s="69"/>
      <c r="X114" s="69"/>
    </row>
    <row r="115" spans="1:24" x14ac:dyDescent="0.3">
      <c r="A115" s="17">
        <v>113</v>
      </c>
      <c r="B115" s="30">
        <v>46052</v>
      </c>
      <c r="C115" s="30">
        <v>46055</v>
      </c>
      <c r="D115" s="19" t="str">
        <f t="shared" si="7"/>
        <v>Jan , 2026</v>
      </c>
      <c r="E115" s="25"/>
      <c r="F115" s="25" t="s">
        <v>78</v>
      </c>
      <c r="G115" s="25" t="s">
        <v>171</v>
      </c>
      <c r="H115" s="25" t="s">
        <v>172</v>
      </c>
      <c r="I115" s="25" t="s">
        <v>56</v>
      </c>
      <c r="J115" s="25" t="s">
        <v>8</v>
      </c>
      <c r="K115" s="25" t="s">
        <v>8</v>
      </c>
      <c r="L115" s="26">
        <v>6000</v>
      </c>
      <c r="M115" s="26"/>
      <c r="N115" s="35">
        <f t="shared" si="5"/>
        <v>6000</v>
      </c>
      <c r="O115" s="26"/>
      <c r="P115" s="26"/>
      <c r="Q115" s="26"/>
      <c r="R115" s="36">
        <f t="shared" si="6"/>
        <v>6000</v>
      </c>
      <c r="S115" s="27">
        <v>6000</v>
      </c>
      <c r="T115" s="24">
        <f t="shared" si="8"/>
        <v>0</v>
      </c>
      <c r="U115" s="25"/>
      <c r="V115" s="69"/>
      <c r="W115" s="69"/>
      <c r="X115" s="69"/>
    </row>
    <row r="116" spans="1:24" x14ac:dyDescent="0.3">
      <c r="A116" s="25">
        <v>114</v>
      </c>
      <c r="B116" s="30">
        <v>46037</v>
      </c>
      <c r="C116" s="30"/>
      <c r="D116" s="19" t="str">
        <f t="shared" si="7"/>
        <v>Jan , 2026</v>
      </c>
      <c r="E116" s="25">
        <v>46</v>
      </c>
      <c r="F116" s="49" t="s">
        <v>120</v>
      </c>
      <c r="G116" s="49" t="s">
        <v>157</v>
      </c>
      <c r="H116" s="25" t="s">
        <v>55</v>
      </c>
      <c r="I116" s="25" t="s">
        <v>56</v>
      </c>
      <c r="J116" s="49" t="s">
        <v>121</v>
      </c>
      <c r="K116" s="25" t="s">
        <v>4</v>
      </c>
      <c r="L116" s="26">
        <v>690000</v>
      </c>
      <c r="M116" s="50">
        <f>L116*18%</f>
        <v>124200</v>
      </c>
      <c r="N116" s="35">
        <f t="shared" si="5"/>
        <v>814200</v>
      </c>
      <c r="O116" s="50">
        <f>L116*1%</f>
        <v>6900</v>
      </c>
      <c r="P116" s="26"/>
      <c r="Q116" s="26"/>
      <c r="R116" s="36">
        <f t="shared" si="6"/>
        <v>807300</v>
      </c>
      <c r="S116" s="27"/>
      <c r="T116" s="24">
        <f t="shared" si="8"/>
        <v>807300</v>
      </c>
      <c r="U116" s="50">
        <v>108606</v>
      </c>
      <c r="V116" s="69"/>
      <c r="W116" s="69"/>
      <c r="X116" s="69"/>
    </row>
    <row r="117" spans="1:24" x14ac:dyDescent="0.3">
      <c r="A117" s="17">
        <v>115</v>
      </c>
      <c r="B117" s="30">
        <v>46062</v>
      </c>
      <c r="C117" s="30">
        <v>46062</v>
      </c>
      <c r="D117" s="19" t="str">
        <f t="shared" si="7"/>
        <v>Feb , 2026</v>
      </c>
      <c r="E117" s="25"/>
      <c r="F117" s="49" t="s">
        <v>173</v>
      </c>
      <c r="G117" s="25" t="s">
        <v>100</v>
      </c>
      <c r="H117" s="25" t="s">
        <v>55</v>
      </c>
      <c r="I117" s="25" t="s">
        <v>56</v>
      </c>
      <c r="J117" s="25" t="s">
        <v>174</v>
      </c>
      <c r="K117" s="25" t="s">
        <v>6</v>
      </c>
      <c r="L117" s="26">
        <v>245</v>
      </c>
      <c r="M117" s="26"/>
      <c r="N117" s="35">
        <f t="shared" si="5"/>
        <v>245</v>
      </c>
      <c r="O117" s="26"/>
      <c r="P117" s="26"/>
      <c r="Q117" s="26"/>
      <c r="R117" s="36">
        <f t="shared" si="6"/>
        <v>245</v>
      </c>
      <c r="S117" s="27">
        <v>245</v>
      </c>
      <c r="T117" s="24">
        <f t="shared" si="8"/>
        <v>0</v>
      </c>
      <c r="U117" s="50" t="s">
        <v>175</v>
      </c>
      <c r="V117" s="69"/>
      <c r="W117" s="69"/>
      <c r="X117" s="69"/>
    </row>
    <row r="118" spans="1:24" x14ac:dyDescent="0.3">
      <c r="A118" s="17">
        <v>116</v>
      </c>
      <c r="B118" s="31">
        <v>46067</v>
      </c>
      <c r="C118" s="31">
        <v>46067</v>
      </c>
      <c r="D118" s="19" t="str">
        <f t="shared" si="7"/>
        <v>Feb , 2026</v>
      </c>
      <c r="E118" s="25"/>
      <c r="F118" s="25" t="s">
        <v>182</v>
      </c>
      <c r="G118" s="25" t="s">
        <v>161</v>
      </c>
      <c r="H118" s="25" t="s">
        <v>55</v>
      </c>
      <c r="I118" s="25" t="s">
        <v>56</v>
      </c>
      <c r="J118" s="25" t="s">
        <v>57</v>
      </c>
      <c r="K118" s="25" t="s">
        <v>5</v>
      </c>
      <c r="L118" s="26">
        <v>0</v>
      </c>
      <c r="M118" s="26"/>
      <c r="N118" s="35">
        <f t="shared" si="5"/>
        <v>0</v>
      </c>
      <c r="O118" s="26"/>
      <c r="P118" s="26"/>
      <c r="Q118" s="26"/>
      <c r="R118" s="36">
        <f t="shared" si="6"/>
        <v>0</v>
      </c>
      <c r="S118" s="27">
        <v>4800</v>
      </c>
      <c r="T118" s="24">
        <f t="shared" si="8"/>
        <v>-4800</v>
      </c>
      <c r="U118" s="25"/>
      <c r="V118" s="69"/>
      <c r="W118" s="69"/>
      <c r="X118" s="69"/>
    </row>
    <row r="119" spans="1:24" x14ac:dyDescent="0.3">
      <c r="A119" s="25">
        <v>117</v>
      </c>
      <c r="B119" s="31">
        <v>46067</v>
      </c>
      <c r="C119" s="31">
        <v>46067</v>
      </c>
      <c r="D119" s="19" t="str">
        <f t="shared" si="7"/>
        <v>Feb , 2026</v>
      </c>
      <c r="E119" s="25"/>
      <c r="F119" s="25" t="s">
        <v>182</v>
      </c>
      <c r="G119" s="25" t="s">
        <v>161</v>
      </c>
      <c r="H119" s="25" t="s">
        <v>55</v>
      </c>
      <c r="I119" s="25" t="s">
        <v>56</v>
      </c>
      <c r="J119" s="25" t="s">
        <v>176</v>
      </c>
      <c r="K119" s="25" t="s">
        <v>5</v>
      </c>
      <c r="L119" s="26">
        <v>0</v>
      </c>
      <c r="M119" s="26"/>
      <c r="N119" s="35">
        <f t="shared" si="5"/>
        <v>0</v>
      </c>
      <c r="O119" s="26"/>
      <c r="P119" s="26"/>
      <c r="Q119" s="26"/>
      <c r="R119" s="36">
        <f t="shared" si="6"/>
        <v>0</v>
      </c>
      <c r="S119" s="27">
        <v>200</v>
      </c>
      <c r="T119" s="24">
        <f t="shared" si="8"/>
        <v>-200</v>
      </c>
      <c r="U119" s="25" t="s">
        <v>177</v>
      </c>
      <c r="V119" s="69"/>
      <c r="W119" s="69"/>
      <c r="X119" s="69"/>
    </row>
    <row r="120" spans="1:24" x14ac:dyDescent="0.3">
      <c r="A120" s="17">
        <v>118</v>
      </c>
      <c r="B120" s="31">
        <v>46068</v>
      </c>
      <c r="C120" s="31">
        <v>46068</v>
      </c>
      <c r="D120" s="19" t="str">
        <f t="shared" si="7"/>
        <v>Feb , 2026</v>
      </c>
      <c r="E120" s="25"/>
      <c r="F120" s="25" t="s">
        <v>182</v>
      </c>
      <c r="G120" s="25" t="s">
        <v>161</v>
      </c>
      <c r="H120" s="25" t="s">
        <v>55</v>
      </c>
      <c r="I120" s="25" t="s">
        <v>56</v>
      </c>
      <c r="J120" s="25" t="s">
        <v>57</v>
      </c>
      <c r="K120" s="25" t="s">
        <v>5</v>
      </c>
      <c r="L120" s="26">
        <v>0</v>
      </c>
      <c r="M120" s="26"/>
      <c r="N120" s="35">
        <f t="shared" si="5"/>
        <v>0</v>
      </c>
      <c r="O120" s="26"/>
      <c r="P120" s="26"/>
      <c r="Q120" s="26"/>
      <c r="R120" s="36">
        <f t="shared" si="6"/>
        <v>0</v>
      </c>
      <c r="S120" s="27">
        <v>4800</v>
      </c>
      <c r="T120" s="24">
        <f t="shared" si="8"/>
        <v>-4800</v>
      </c>
      <c r="U120" s="25"/>
      <c r="V120" s="69"/>
      <c r="W120" s="69"/>
      <c r="X120" s="69"/>
    </row>
    <row r="121" spans="1:24" x14ac:dyDescent="0.3">
      <c r="A121" s="17">
        <v>119</v>
      </c>
      <c r="B121" s="31">
        <v>46068</v>
      </c>
      <c r="C121" s="31">
        <v>46068</v>
      </c>
      <c r="D121" s="19" t="str">
        <f t="shared" si="7"/>
        <v>Feb , 2026</v>
      </c>
      <c r="E121" s="25"/>
      <c r="F121" s="25" t="s">
        <v>182</v>
      </c>
      <c r="G121" s="25" t="s">
        <v>161</v>
      </c>
      <c r="H121" s="25" t="s">
        <v>55</v>
      </c>
      <c r="I121" s="25" t="s">
        <v>56</v>
      </c>
      <c r="J121" s="25" t="s">
        <v>155</v>
      </c>
      <c r="K121" s="25" t="s">
        <v>5</v>
      </c>
      <c r="L121" s="26">
        <v>0</v>
      </c>
      <c r="M121" s="26"/>
      <c r="N121" s="35">
        <f t="shared" si="5"/>
        <v>0</v>
      </c>
      <c r="O121" s="26"/>
      <c r="P121" s="26"/>
      <c r="Q121" s="26"/>
      <c r="R121" s="36">
        <f t="shared" si="6"/>
        <v>0</v>
      </c>
      <c r="S121" s="27">
        <v>200</v>
      </c>
      <c r="T121" s="24">
        <f t="shared" si="8"/>
        <v>-200</v>
      </c>
      <c r="U121" s="25"/>
      <c r="V121" s="69"/>
      <c r="W121" s="69"/>
      <c r="X121" s="69"/>
    </row>
    <row r="122" spans="1:24" x14ac:dyDescent="0.3">
      <c r="A122" s="25">
        <v>120</v>
      </c>
      <c r="B122" s="31">
        <v>46070</v>
      </c>
      <c r="C122" s="31">
        <v>46070</v>
      </c>
      <c r="D122" s="19" t="str">
        <f t="shared" si="7"/>
        <v>Feb , 2026</v>
      </c>
      <c r="E122" s="25"/>
      <c r="F122" s="25" t="s">
        <v>182</v>
      </c>
      <c r="G122" s="25" t="s">
        <v>161</v>
      </c>
      <c r="H122" s="25" t="s">
        <v>55</v>
      </c>
      <c r="I122" s="25" t="s">
        <v>56</v>
      </c>
      <c r="J122" s="25" t="s">
        <v>155</v>
      </c>
      <c r="K122" s="25" t="s">
        <v>5</v>
      </c>
      <c r="L122" s="26">
        <v>0</v>
      </c>
      <c r="M122" s="26"/>
      <c r="N122" s="35">
        <f t="shared" si="5"/>
        <v>0</v>
      </c>
      <c r="O122" s="26"/>
      <c r="P122" s="26"/>
      <c r="Q122" s="26"/>
      <c r="R122" s="36">
        <f t="shared" si="6"/>
        <v>0</v>
      </c>
      <c r="S122" s="27">
        <v>200</v>
      </c>
      <c r="T122" s="24">
        <f t="shared" si="8"/>
        <v>-200</v>
      </c>
      <c r="U122" s="25"/>
      <c r="V122" s="69"/>
      <c r="W122" s="69"/>
      <c r="X122" s="69"/>
    </row>
    <row r="123" spans="1:24" x14ac:dyDescent="0.3">
      <c r="A123" s="17">
        <v>121</v>
      </c>
      <c r="B123" s="31">
        <v>46070</v>
      </c>
      <c r="C123" s="31">
        <v>46070</v>
      </c>
      <c r="D123" s="19" t="str">
        <f t="shared" si="7"/>
        <v>Feb , 2026</v>
      </c>
      <c r="E123" s="25"/>
      <c r="F123" s="25" t="s">
        <v>182</v>
      </c>
      <c r="G123" s="25" t="s">
        <v>161</v>
      </c>
      <c r="H123" s="25" t="s">
        <v>55</v>
      </c>
      <c r="I123" s="25" t="s">
        <v>56</v>
      </c>
      <c r="J123" s="25" t="s">
        <v>57</v>
      </c>
      <c r="K123" s="25" t="s">
        <v>5</v>
      </c>
      <c r="L123" s="26">
        <v>0</v>
      </c>
      <c r="M123" s="26"/>
      <c r="N123" s="35">
        <f t="shared" si="5"/>
        <v>0</v>
      </c>
      <c r="O123" s="26"/>
      <c r="P123" s="26"/>
      <c r="Q123" s="26"/>
      <c r="R123" s="36">
        <f t="shared" si="6"/>
        <v>0</v>
      </c>
      <c r="S123" s="27">
        <v>4800</v>
      </c>
      <c r="T123" s="24">
        <f t="shared" si="8"/>
        <v>-4800</v>
      </c>
      <c r="U123" s="25"/>
      <c r="V123" s="69"/>
      <c r="W123" s="69"/>
      <c r="X123" s="69"/>
    </row>
    <row r="124" spans="1:24" x14ac:dyDescent="0.3">
      <c r="A124" s="17">
        <v>122</v>
      </c>
      <c r="B124" s="30">
        <v>46074</v>
      </c>
      <c r="C124" s="30">
        <v>46094</v>
      </c>
      <c r="D124" s="19" t="str">
        <f t="shared" si="7"/>
        <v>Feb , 2026</v>
      </c>
      <c r="E124" s="25"/>
      <c r="F124" s="25" t="s">
        <v>146</v>
      </c>
      <c r="G124" s="25" t="s">
        <v>183</v>
      </c>
      <c r="H124" s="25" t="s">
        <v>55</v>
      </c>
      <c r="I124" s="25" t="s">
        <v>56</v>
      </c>
      <c r="J124" s="25" t="s">
        <v>184</v>
      </c>
      <c r="K124" s="25" t="s">
        <v>5</v>
      </c>
      <c r="L124" s="26">
        <v>76000</v>
      </c>
      <c r="M124" s="26"/>
      <c r="N124" s="35">
        <f t="shared" si="5"/>
        <v>76000</v>
      </c>
      <c r="O124" s="26"/>
      <c r="P124" s="26"/>
      <c r="Q124" s="26"/>
      <c r="R124" s="36">
        <f t="shared" si="6"/>
        <v>76000</v>
      </c>
      <c r="S124" s="27">
        <v>21000</v>
      </c>
      <c r="T124" s="24">
        <f t="shared" si="8"/>
        <v>55000</v>
      </c>
      <c r="U124" s="25"/>
      <c r="V124" s="69"/>
      <c r="W124" s="69"/>
      <c r="X124" s="69"/>
    </row>
    <row r="125" spans="1:24" x14ac:dyDescent="0.3">
      <c r="A125" s="25">
        <v>123</v>
      </c>
      <c r="B125" s="30">
        <v>46022</v>
      </c>
      <c r="C125" s="30">
        <v>46035</v>
      </c>
      <c r="D125" s="19" t="str">
        <f t="shared" si="7"/>
        <v>Dec , 2025</v>
      </c>
      <c r="E125" s="25"/>
      <c r="F125" s="25" t="s">
        <v>185</v>
      </c>
      <c r="G125" s="25" t="s">
        <v>70</v>
      </c>
      <c r="H125" s="25" t="s">
        <v>55</v>
      </c>
      <c r="I125" s="25" t="s">
        <v>56</v>
      </c>
      <c r="J125" s="25" t="s">
        <v>186</v>
      </c>
      <c r="K125" s="25" t="s">
        <v>11</v>
      </c>
      <c r="L125" s="26">
        <v>120000</v>
      </c>
      <c r="M125" s="26"/>
      <c r="N125" s="35">
        <f t="shared" si="5"/>
        <v>120000</v>
      </c>
      <c r="O125" s="26"/>
      <c r="P125" s="26">
        <v>6886</v>
      </c>
      <c r="Q125" s="26">
        <v>548</v>
      </c>
      <c r="R125" s="36">
        <f>N125-O125-P125-Q125</f>
        <v>112566</v>
      </c>
      <c r="S125" s="27">
        <v>112566</v>
      </c>
      <c r="T125" s="24">
        <f t="shared" si="8"/>
        <v>0</v>
      </c>
      <c r="U125" s="25"/>
      <c r="V125" s="69"/>
      <c r="W125" s="69"/>
      <c r="X125" s="69"/>
    </row>
    <row r="126" spans="1:24" x14ac:dyDescent="0.3">
      <c r="A126" s="17">
        <v>124</v>
      </c>
      <c r="B126" s="67">
        <v>46053</v>
      </c>
      <c r="C126" s="30">
        <v>46066</v>
      </c>
      <c r="D126" s="19" t="str">
        <f t="shared" si="7"/>
        <v>Jan , 2026</v>
      </c>
      <c r="E126" s="25"/>
      <c r="F126" s="25" t="s">
        <v>185</v>
      </c>
      <c r="G126" s="25" t="s">
        <v>70</v>
      </c>
      <c r="H126" s="25" t="s">
        <v>55</v>
      </c>
      <c r="I126" s="25" t="s">
        <v>56</v>
      </c>
      <c r="J126" s="25" t="s">
        <v>187</v>
      </c>
      <c r="K126" s="25" t="s">
        <v>11</v>
      </c>
      <c r="L126" s="26">
        <v>175500</v>
      </c>
      <c r="M126" s="26"/>
      <c r="N126" s="35">
        <f t="shared" si="5"/>
        <v>175500</v>
      </c>
      <c r="O126" s="26"/>
      <c r="P126" s="26">
        <v>13272.48</v>
      </c>
      <c r="Q126" s="26">
        <v>548</v>
      </c>
      <c r="R126" s="36">
        <f t="shared" si="6"/>
        <v>161679.51999999999</v>
      </c>
      <c r="S126" s="27">
        <v>161679.51999999999</v>
      </c>
      <c r="T126" s="24">
        <f t="shared" si="8"/>
        <v>0</v>
      </c>
      <c r="U126" s="25"/>
      <c r="V126" s="69"/>
      <c r="W126" s="69"/>
      <c r="X126" s="69"/>
    </row>
    <row r="127" spans="1:24" x14ac:dyDescent="0.3">
      <c r="A127" s="17">
        <v>125</v>
      </c>
      <c r="B127" s="30">
        <v>46079</v>
      </c>
      <c r="C127" s="30">
        <v>46092</v>
      </c>
      <c r="D127" s="19" t="str">
        <f t="shared" si="7"/>
        <v>Feb , 2026</v>
      </c>
      <c r="E127" s="25"/>
      <c r="F127" s="25" t="s">
        <v>11</v>
      </c>
      <c r="G127" s="25" t="s">
        <v>70</v>
      </c>
      <c r="H127" s="25" t="s">
        <v>55</v>
      </c>
      <c r="I127" s="25" t="s">
        <v>56</v>
      </c>
      <c r="J127" s="25" t="s">
        <v>188</v>
      </c>
      <c r="K127" s="25" t="s">
        <v>11</v>
      </c>
      <c r="L127" s="26">
        <v>125500</v>
      </c>
      <c r="M127" s="26"/>
      <c r="N127" s="35">
        <f t="shared" si="5"/>
        <v>125500</v>
      </c>
      <c r="O127" s="26"/>
      <c r="P127" s="26">
        <v>11472.48</v>
      </c>
      <c r="Q127" s="26">
        <v>548</v>
      </c>
      <c r="R127" s="36">
        <f t="shared" si="6"/>
        <v>113479.52</v>
      </c>
      <c r="S127" s="27">
        <v>113479.52</v>
      </c>
      <c r="T127" s="24">
        <f t="shared" si="8"/>
        <v>0</v>
      </c>
      <c r="U127" s="25"/>
      <c r="V127" s="69"/>
      <c r="W127" s="69"/>
      <c r="X127" s="69"/>
    </row>
    <row r="128" spans="1:24" x14ac:dyDescent="0.3">
      <c r="A128" s="25">
        <v>126</v>
      </c>
      <c r="B128" s="30">
        <v>45969</v>
      </c>
      <c r="C128" s="30">
        <v>45969</v>
      </c>
      <c r="D128" s="19" t="str">
        <f t="shared" si="7"/>
        <v>Nov , 2025</v>
      </c>
      <c r="E128" s="25"/>
      <c r="F128" s="17" t="s">
        <v>97</v>
      </c>
      <c r="G128" s="25" t="s">
        <v>70</v>
      </c>
      <c r="H128" s="25" t="s">
        <v>55</v>
      </c>
      <c r="I128" s="25" t="s">
        <v>56</v>
      </c>
      <c r="J128" s="25" t="s">
        <v>189</v>
      </c>
      <c r="K128" s="25" t="s">
        <v>3</v>
      </c>
      <c r="L128" s="26">
        <v>0</v>
      </c>
      <c r="M128" s="26"/>
      <c r="N128" s="35">
        <f t="shared" si="5"/>
        <v>0</v>
      </c>
      <c r="O128" s="26"/>
      <c r="P128" s="26"/>
      <c r="Q128" s="26"/>
      <c r="R128" s="36">
        <f t="shared" si="6"/>
        <v>0</v>
      </c>
      <c r="S128" s="27">
        <v>31565</v>
      </c>
      <c r="T128" s="24">
        <f t="shared" si="8"/>
        <v>-31565</v>
      </c>
      <c r="U128" s="25"/>
      <c r="V128" s="69"/>
      <c r="W128" s="69"/>
      <c r="X128" s="69"/>
    </row>
    <row r="129" spans="1:24" x14ac:dyDescent="0.3">
      <c r="A129" s="17">
        <v>127</v>
      </c>
      <c r="B129" s="30">
        <v>45668</v>
      </c>
      <c r="C129" s="30">
        <v>45668</v>
      </c>
      <c r="D129" s="19" t="str">
        <f t="shared" si="7"/>
        <v>Jan , 2025</v>
      </c>
      <c r="E129" s="25"/>
      <c r="F129" s="17" t="s">
        <v>97</v>
      </c>
      <c r="G129" s="25" t="s">
        <v>70</v>
      </c>
      <c r="H129" s="25" t="s">
        <v>55</v>
      </c>
      <c r="I129" s="25" t="s">
        <v>56</v>
      </c>
      <c r="J129" s="25" t="s">
        <v>107</v>
      </c>
      <c r="K129" s="25" t="s">
        <v>3</v>
      </c>
      <c r="L129" s="26"/>
      <c r="M129" s="26"/>
      <c r="N129" s="35">
        <f t="shared" si="5"/>
        <v>0</v>
      </c>
      <c r="O129" s="26"/>
      <c r="P129" s="26"/>
      <c r="Q129" s="26"/>
      <c r="R129" s="36">
        <f t="shared" si="6"/>
        <v>0</v>
      </c>
      <c r="S129" s="27">
        <v>247170</v>
      </c>
      <c r="T129" s="24">
        <f t="shared" si="8"/>
        <v>-247170</v>
      </c>
      <c r="U129" s="25"/>
      <c r="V129" s="69"/>
      <c r="W129" s="69"/>
      <c r="X129" s="69"/>
    </row>
    <row r="130" spans="1:24" x14ac:dyDescent="0.3">
      <c r="A130" s="17">
        <v>128</v>
      </c>
      <c r="B130" s="30">
        <v>46072</v>
      </c>
      <c r="C130" s="30">
        <v>45707</v>
      </c>
      <c r="D130" s="19" t="str">
        <f t="shared" si="7"/>
        <v>Feb , 2026</v>
      </c>
      <c r="E130" s="25"/>
      <c r="F130" s="25" t="s">
        <v>182</v>
      </c>
      <c r="G130" s="25" t="s">
        <v>161</v>
      </c>
      <c r="H130" s="25" t="s">
        <v>55</v>
      </c>
      <c r="I130" s="25" t="s">
        <v>56</v>
      </c>
      <c r="J130" s="25" t="s">
        <v>57</v>
      </c>
      <c r="K130" s="25" t="s">
        <v>5</v>
      </c>
      <c r="L130" s="26">
        <v>0</v>
      </c>
      <c r="M130" s="26"/>
      <c r="N130" s="35">
        <f t="shared" si="5"/>
        <v>0</v>
      </c>
      <c r="O130" s="26"/>
      <c r="P130" s="26"/>
      <c r="Q130" s="26"/>
      <c r="R130" s="36">
        <f t="shared" si="6"/>
        <v>0</v>
      </c>
      <c r="S130" s="27">
        <v>4800</v>
      </c>
      <c r="T130" s="24">
        <f t="shared" si="8"/>
        <v>-4800</v>
      </c>
      <c r="U130" s="25"/>
      <c r="V130" s="69"/>
      <c r="W130" s="69"/>
      <c r="X130" s="69"/>
    </row>
    <row r="131" spans="1:24" x14ac:dyDescent="0.3">
      <c r="A131" s="25">
        <v>129</v>
      </c>
      <c r="B131" s="30">
        <v>46072</v>
      </c>
      <c r="C131" s="30">
        <v>45707</v>
      </c>
      <c r="D131" s="19" t="str">
        <f t="shared" si="7"/>
        <v>Feb , 2026</v>
      </c>
      <c r="E131" s="25"/>
      <c r="F131" s="25" t="s">
        <v>182</v>
      </c>
      <c r="G131" s="25" t="s">
        <v>161</v>
      </c>
      <c r="H131" s="25" t="s">
        <v>55</v>
      </c>
      <c r="I131" s="25" t="s">
        <v>56</v>
      </c>
      <c r="J131" s="25" t="s">
        <v>155</v>
      </c>
      <c r="K131" s="25" t="s">
        <v>5</v>
      </c>
      <c r="L131" s="26">
        <v>0</v>
      </c>
      <c r="M131" s="26"/>
      <c r="N131" s="35">
        <f t="shared" ref="N131:N151" si="9">L131+M131</f>
        <v>0</v>
      </c>
      <c r="O131" s="26"/>
      <c r="P131" s="26"/>
      <c r="Q131" s="26"/>
      <c r="R131" s="36">
        <f t="shared" ref="R131:R151" si="10">N131-O131-P131-Q131</f>
        <v>0</v>
      </c>
      <c r="S131" s="27">
        <v>200</v>
      </c>
      <c r="T131" s="24">
        <f t="shared" si="8"/>
        <v>-200</v>
      </c>
      <c r="U131" s="25"/>
      <c r="V131" s="69"/>
      <c r="W131" s="69"/>
      <c r="X131" s="69"/>
    </row>
    <row r="132" spans="1:24" x14ac:dyDescent="0.3">
      <c r="A132" s="17">
        <v>130</v>
      </c>
      <c r="B132" s="30">
        <v>46073</v>
      </c>
      <c r="C132" s="30">
        <v>45708</v>
      </c>
      <c r="D132" s="19" t="str">
        <f t="shared" ref="D132:D151" si="11">TEXT(B132,"mmm , yyy")</f>
        <v>Feb , 2026</v>
      </c>
      <c r="E132" s="25"/>
      <c r="F132" s="25" t="s">
        <v>182</v>
      </c>
      <c r="G132" s="25" t="s">
        <v>161</v>
      </c>
      <c r="H132" s="25" t="s">
        <v>55</v>
      </c>
      <c r="I132" s="25" t="s">
        <v>56</v>
      </c>
      <c r="J132" s="25" t="s">
        <v>57</v>
      </c>
      <c r="K132" s="25" t="s">
        <v>5</v>
      </c>
      <c r="L132" s="26">
        <v>0</v>
      </c>
      <c r="M132" s="26"/>
      <c r="N132" s="35">
        <f t="shared" si="9"/>
        <v>0</v>
      </c>
      <c r="O132" s="26"/>
      <c r="P132" s="26"/>
      <c r="Q132" s="26"/>
      <c r="R132" s="36">
        <f t="shared" si="10"/>
        <v>0</v>
      </c>
      <c r="S132" s="27">
        <v>4800</v>
      </c>
      <c r="T132" s="24">
        <f t="shared" si="8"/>
        <v>-4800</v>
      </c>
      <c r="U132" s="25"/>
      <c r="V132" s="69"/>
      <c r="W132" s="69"/>
      <c r="X132" s="69"/>
    </row>
    <row r="133" spans="1:24" x14ac:dyDescent="0.3">
      <c r="A133" s="17">
        <v>131</v>
      </c>
      <c r="B133" s="30">
        <v>46075</v>
      </c>
      <c r="C133" s="30">
        <v>46075</v>
      </c>
      <c r="D133" s="19" t="str">
        <f t="shared" si="11"/>
        <v>Feb , 2026</v>
      </c>
      <c r="E133" s="25"/>
      <c r="F133" s="25" t="s">
        <v>190</v>
      </c>
      <c r="G133" s="25" t="s">
        <v>161</v>
      </c>
      <c r="H133" s="25" t="s">
        <v>55</v>
      </c>
      <c r="I133" s="25" t="s">
        <v>56</v>
      </c>
      <c r="J133" s="25" t="s">
        <v>155</v>
      </c>
      <c r="K133" s="25" t="s">
        <v>5</v>
      </c>
      <c r="L133" s="26">
        <v>0</v>
      </c>
      <c r="M133" s="26"/>
      <c r="N133" s="35">
        <f t="shared" si="9"/>
        <v>0</v>
      </c>
      <c r="O133" s="26"/>
      <c r="P133" s="26"/>
      <c r="Q133" s="26"/>
      <c r="R133" s="36">
        <f t="shared" si="10"/>
        <v>0</v>
      </c>
      <c r="S133" s="27">
        <v>200</v>
      </c>
      <c r="T133" s="24">
        <f t="shared" ref="T133:T151" si="12">R133-S133</f>
        <v>-200</v>
      </c>
      <c r="U133" s="25"/>
      <c r="V133" s="69"/>
      <c r="W133" s="69"/>
      <c r="X133" s="69"/>
    </row>
    <row r="134" spans="1:24" x14ac:dyDescent="0.3">
      <c r="A134" s="25">
        <v>132</v>
      </c>
      <c r="B134" s="30">
        <v>46075</v>
      </c>
      <c r="C134" s="30">
        <v>46079</v>
      </c>
      <c r="D134" s="19" t="str">
        <f t="shared" si="11"/>
        <v>Feb , 2026</v>
      </c>
      <c r="E134" s="25"/>
      <c r="F134" s="25" t="s">
        <v>146</v>
      </c>
      <c r="G134" s="25" t="s">
        <v>54</v>
      </c>
      <c r="H134" s="25" t="s">
        <v>55</v>
      </c>
      <c r="I134" s="25" t="s">
        <v>56</v>
      </c>
      <c r="J134" s="25" t="s">
        <v>184</v>
      </c>
      <c r="K134" s="25" t="s">
        <v>5</v>
      </c>
      <c r="L134" s="26"/>
      <c r="M134" s="26"/>
      <c r="N134" s="35">
        <f t="shared" si="9"/>
        <v>0</v>
      </c>
      <c r="O134" s="26"/>
      <c r="P134" s="26"/>
      <c r="Q134" s="26"/>
      <c r="R134" s="36">
        <f t="shared" si="10"/>
        <v>0</v>
      </c>
      <c r="S134" s="27">
        <v>30000</v>
      </c>
      <c r="T134" s="24">
        <f t="shared" si="12"/>
        <v>-30000</v>
      </c>
      <c r="U134" s="25"/>
      <c r="V134" s="69"/>
      <c r="W134" s="69"/>
      <c r="X134" s="69"/>
    </row>
    <row r="135" spans="1:24" x14ac:dyDescent="0.3">
      <c r="A135" s="17">
        <v>133</v>
      </c>
      <c r="B135" s="30">
        <v>46081</v>
      </c>
      <c r="C135" s="30">
        <v>46084</v>
      </c>
      <c r="D135" s="19" t="str">
        <f t="shared" si="11"/>
        <v>Feb , 2026</v>
      </c>
      <c r="E135" s="25"/>
      <c r="F135" s="25" t="s">
        <v>78</v>
      </c>
      <c r="G135" s="25" t="s">
        <v>79</v>
      </c>
      <c r="H135" s="25" t="s">
        <v>55</v>
      </c>
      <c r="I135" s="25" t="s">
        <v>56</v>
      </c>
      <c r="J135" s="25" t="s">
        <v>191</v>
      </c>
      <c r="K135" s="25" t="s">
        <v>8</v>
      </c>
      <c r="L135" s="26">
        <v>6000</v>
      </c>
      <c r="M135" s="26"/>
      <c r="N135" s="35">
        <f t="shared" si="9"/>
        <v>6000</v>
      </c>
      <c r="O135" s="26"/>
      <c r="P135" s="26"/>
      <c r="Q135" s="26"/>
      <c r="R135" s="36">
        <f t="shared" si="10"/>
        <v>6000</v>
      </c>
      <c r="S135" s="27">
        <v>6000</v>
      </c>
      <c r="T135" s="24">
        <f t="shared" si="12"/>
        <v>0</v>
      </c>
      <c r="U135" s="25"/>
      <c r="V135" s="69"/>
      <c r="W135" s="69"/>
      <c r="X135" s="69"/>
    </row>
    <row r="136" spans="1:24" x14ac:dyDescent="0.3">
      <c r="A136" s="17">
        <v>134</v>
      </c>
      <c r="B136" s="30">
        <v>46064</v>
      </c>
      <c r="C136" s="30">
        <v>46064</v>
      </c>
      <c r="D136" s="19" t="str">
        <f t="shared" si="11"/>
        <v>Feb , 2026</v>
      </c>
      <c r="E136" s="25"/>
      <c r="F136" s="25" t="s">
        <v>194</v>
      </c>
      <c r="G136" s="25" t="s">
        <v>59</v>
      </c>
      <c r="H136" s="25" t="s">
        <v>55</v>
      </c>
      <c r="I136" s="25" t="s">
        <v>56</v>
      </c>
      <c r="J136" s="25" t="s">
        <v>195</v>
      </c>
      <c r="K136" s="25" t="s">
        <v>10</v>
      </c>
      <c r="L136" s="26">
        <v>350</v>
      </c>
      <c r="M136" s="26"/>
      <c r="N136" s="35">
        <f t="shared" si="9"/>
        <v>350</v>
      </c>
      <c r="O136" s="26"/>
      <c r="P136" s="26"/>
      <c r="Q136" s="26"/>
      <c r="R136" s="36">
        <f t="shared" si="10"/>
        <v>350</v>
      </c>
      <c r="S136" s="27">
        <v>350</v>
      </c>
      <c r="T136" s="24">
        <f t="shared" si="12"/>
        <v>0</v>
      </c>
      <c r="U136" s="25"/>
      <c r="V136" s="69"/>
      <c r="W136" s="69"/>
      <c r="X136" s="69"/>
    </row>
    <row r="137" spans="1:24" x14ac:dyDescent="0.3">
      <c r="A137" s="17">
        <v>135</v>
      </c>
      <c r="B137" s="30">
        <v>46064</v>
      </c>
      <c r="C137" s="30">
        <v>46064</v>
      </c>
      <c r="D137" s="19" t="str">
        <f t="shared" si="11"/>
        <v>Feb , 2026</v>
      </c>
      <c r="E137" s="25"/>
      <c r="F137" s="25" t="s">
        <v>196</v>
      </c>
      <c r="G137" s="25" t="s">
        <v>59</v>
      </c>
      <c r="H137" s="25" t="s">
        <v>55</v>
      </c>
      <c r="I137" s="25" t="s">
        <v>197</v>
      </c>
      <c r="J137" s="25" t="s">
        <v>198</v>
      </c>
      <c r="K137" s="25" t="s">
        <v>13</v>
      </c>
      <c r="L137" s="26">
        <v>400</v>
      </c>
      <c r="M137" s="26"/>
      <c r="N137" s="35">
        <f t="shared" si="9"/>
        <v>400</v>
      </c>
      <c r="O137" s="26"/>
      <c r="P137" s="26"/>
      <c r="Q137" s="26"/>
      <c r="R137" s="36">
        <f t="shared" si="10"/>
        <v>400</v>
      </c>
      <c r="S137" s="27">
        <v>400</v>
      </c>
      <c r="T137" s="24">
        <f t="shared" si="12"/>
        <v>0</v>
      </c>
      <c r="U137" s="25"/>
      <c r="V137" s="69"/>
      <c r="W137" s="69"/>
      <c r="X137" s="69"/>
    </row>
    <row r="138" spans="1:24" x14ac:dyDescent="0.3">
      <c r="A138" s="17">
        <v>136</v>
      </c>
      <c r="B138" s="30">
        <v>46064</v>
      </c>
      <c r="C138" s="30">
        <v>46064</v>
      </c>
      <c r="D138" s="19" t="str">
        <f t="shared" si="11"/>
        <v>Feb , 2026</v>
      </c>
      <c r="E138" s="25"/>
      <c r="F138" s="25" t="s">
        <v>199</v>
      </c>
      <c r="G138" s="25" t="s">
        <v>59</v>
      </c>
      <c r="H138" s="25" t="s">
        <v>55</v>
      </c>
      <c r="I138" s="25" t="s">
        <v>197</v>
      </c>
      <c r="J138" s="25" t="s">
        <v>200</v>
      </c>
      <c r="K138" s="25" t="s">
        <v>13</v>
      </c>
      <c r="L138" s="26">
        <v>262</v>
      </c>
      <c r="M138" s="26"/>
      <c r="N138" s="35">
        <f t="shared" si="9"/>
        <v>262</v>
      </c>
      <c r="O138" s="26"/>
      <c r="P138" s="26"/>
      <c r="Q138" s="26"/>
      <c r="R138" s="36">
        <f t="shared" si="10"/>
        <v>262</v>
      </c>
      <c r="S138" s="27">
        <v>262</v>
      </c>
      <c r="T138" s="24">
        <f t="shared" si="12"/>
        <v>0</v>
      </c>
      <c r="U138" s="25"/>
      <c r="V138" s="69"/>
      <c r="W138" s="69"/>
      <c r="X138" s="69"/>
    </row>
    <row r="139" spans="1:24" x14ac:dyDescent="0.3">
      <c r="A139" s="17">
        <v>137</v>
      </c>
      <c r="B139" s="30">
        <v>46064</v>
      </c>
      <c r="C139" s="30">
        <v>46064</v>
      </c>
      <c r="D139" s="19" t="str">
        <f t="shared" si="11"/>
        <v>Feb , 2026</v>
      </c>
      <c r="E139" s="25"/>
      <c r="F139" s="25" t="s">
        <v>199</v>
      </c>
      <c r="G139" s="25" t="s">
        <v>59</v>
      </c>
      <c r="H139" s="25" t="s">
        <v>172</v>
      </c>
      <c r="I139" s="25" t="s">
        <v>56</v>
      </c>
      <c r="J139" s="25" t="s">
        <v>201</v>
      </c>
      <c r="K139" s="25" t="s">
        <v>13</v>
      </c>
      <c r="L139" s="26">
        <v>51</v>
      </c>
      <c r="M139" s="26"/>
      <c r="N139" s="35">
        <f t="shared" si="9"/>
        <v>51</v>
      </c>
      <c r="O139" s="26"/>
      <c r="P139" s="26"/>
      <c r="Q139" s="26"/>
      <c r="R139" s="36">
        <f t="shared" si="10"/>
        <v>51</v>
      </c>
      <c r="S139" s="27">
        <v>51</v>
      </c>
      <c r="T139" s="24">
        <f t="shared" si="12"/>
        <v>0</v>
      </c>
      <c r="U139" s="25"/>
      <c r="V139" s="69"/>
      <c r="W139" s="69"/>
      <c r="X139" s="69"/>
    </row>
    <row r="140" spans="1:24" x14ac:dyDescent="0.3">
      <c r="A140" s="17">
        <v>138</v>
      </c>
      <c r="B140" s="30">
        <v>46064</v>
      </c>
      <c r="C140" s="30">
        <v>46064</v>
      </c>
      <c r="D140" s="19" t="str">
        <f t="shared" si="11"/>
        <v>Feb , 2026</v>
      </c>
      <c r="E140" s="25"/>
      <c r="F140" s="25" t="s">
        <v>202</v>
      </c>
      <c r="G140" s="25" t="s">
        <v>59</v>
      </c>
      <c r="H140" s="25" t="s">
        <v>55</v>
      </c>
      <c r="I140" s="25" t="s">
        <v>56</v>
      </c>
      <c r="J140" s="25" t="s">
        <v>203</v>
      </c>
      <c r="K140" s="25" t="s">
        <v>204</v>
      </c>
      <c r="L140" s="26">
        <v>1200</v>
      </c>
      <c r="M140" s="26"/>
      <c r="N140" s="35">
        <f t="shared" si="9"/>
        <v>1200</v>
      </c>
      <c r="O140" s="26"/>
      <c r="P140" s="26"/>
      <c r="Q140" s="26"/>
      <c r="R140" s="36">
        <f t="shared" si="10"/>
        <v>1200</v>
      </c>
      <c r="S140" s="27">
        <v>1200</v>
      </c>
      <c r="T140" s="24">
        <f t="shared" si="12"/>
        <v>0</v>
      </c>
      <c r="U140" s="25"/>
      <c r="V140" s="69"/>
      <c r="W140" s="69"/>
      <c r="X140" s="69"/>
    </row>
    <row r="141" spans="1:24" x14ac:dyDescent="0.3">
      <c r="A141" s="17">
        <v>139</v>
      </c>
      <c r="B141" s="30">
        <v>46064</v>
      </c>
      <c r="C141" s="30">
        <v>46064</v>
      </c>
      <c r="D141" s="19" t="str">
        <f t="shared" si="11"/>
        <v>Feb , 2026</v>
      </c>
      <c r="E141" s="25"/>
      <c r="F141" s="25" t="s">
        <v>199</v>
      </c>
      <c r="G141" s="25" t="s">
        <v>59</v>
      </c>
      <c r="H141" s="25" t="s">
        <v>55</v>
      </c>
      <c r="I141" s="25" t="s">
        <v>56</v>
      </c>
      <c r="J141" s="25" t="s">
        <v>205</v>
      </c>
      <c r="K141" s="25" t="s">
        <v>13</v>
      </c>
      <c r="L141" s="26">
        <v>51</v>
      </c>
      <c r="M141" s="26"/>
      <c r="N141" s="35">
        <f t="shared" si="9"/>
        <v>51</v>
      </c>
      <c r="O141" s="26"/>
      <c r="P141" s="26"/>
      <c r="Q141" s="26"/>
      <c r="R141" s="36">
        <f t="shared" si="10"/>
        <v>51</v>
      </c>
      <c r="S141" s="27">
        <v>51</v>
      </c>
      <c r="T141" s="24">
        <f t="shared" si="12"/>
        <v>0</v>
      </c>
      <c r="U141" s="25"/>
      <c r="V141" s="69"/>
      <c r="W141" s="69"/>
      <c r="X141" s="69"/>
    </row>
    <row r="142" spans="1:24" x14ac:dyDescent="0.3">
      <c r="A142" s="17">
        <v>140</v>
      </c>
      <c r="B142" s="30">
        <v>46065</v>
      </c>
      <c r="C142" s="30">
        <v>46065</v>
      </c>
      <c r="D142" s="19" t="str">
        <f t="shared" si="11"/>
        <v>Feb , 2026</v>
      </c>
      <c r="E142" s="25"/>
      <c r="F142" s="25" t="s">
        <v>199</v>
      </c>
      <c r="G142" s="25" t="s">
        <v>59</v>
      </c>
      <c r="H142" s="25" t="s">
        <v>55</v>
      </c>
      <c r="I142" s="25" t="s">
        <v>56</v>
      </c>
      <c r="J142" s="25" t="s">
        <v>206</v>
      </c>
      <c r="K142" s="25" t="s">
        <v>13</v>
      </c>
      <c r="L142" s="26">
        <v>370</v>
      </c>
      <c r="M142" s="26"/>
      <c r="N142" s="35">
        <f t="shared" si="9"/>
        <v>370</v>
      </c>
      <c r="O142" s="26"/>
      <c r="P142" s="26"/>
      <c r="Q142" s="26"/>
      <c r="R142" s="36">
        <f t="shared" si="10"/>
        <v>370</v>
      </c>
      <c r="S142" s="27">
        <v>370</v>
      </c>
      <c r="T142" s="24">
        <f t="shared" si="12"/>
        <v>0</v>
      </c>
      <c r="U142" s="25"/>
      <c r="V142" s="69"/>
      <c r="W142" s="69"/>
      <c r="X142" s="69"/>
    </row>
    <row r="143" spans="1:24" x14ac:dyDescent="0.3">
      <c r="A143" s="17">
        <v>141</v>
      </c>
      <c r="B143" s="30">
        <v>46065</v>
      </c>
      <c r="C143" s="30">
        <v>46065</v>
      </c>
      <c r="D143" s="19" t="str">
        <f t="shared" si="11"/>
        <v>Feb , 2026</v>
      </c>
      <c r="E143" s="25"/>
      <c r="F143" s="25" t="s">
        <v>199</v>
      </c>
      <c r="G143" s="25" t="s">
        <v>59</v>
      </c>
      <c r="H143" s="25" t="s">
        <v>55</v>
      </c>
      <c r="I143" s="25" t="s">
        <v>56</v>
      </c>
      <c r="J143" s="25" t="s">
        <v>207</v>
      </c>
      <c r="K143" s="25" t="s">
        <v>13</v>
      </c>
      <c r="L143" s="26">
        <v>343</v>
      </c>
      <c r="M143" s="26"/>
      <c r="N143" s="35">
        <f t="shared" si="9"/>
        <v>343</v>
      </c>
      <c r="O143" s="26"/>
      <c r="P143" s="26"/>
      <c r="Q143" s="26"/>
      <c r="R143" s="36">
        <f t="shared" si="10"/>
        <v>343</v>
      </c>
      <c r="S143" s="27">
        <v>343</v>
      </c>
      <c r="T143" s="24">
        <f t="shared" si="12"/>
        <v>0</v>
      </c>
      <c r="U143" s="25"/>
      <c r="V143" s="69"/>
      <c r="W143" s="69"/>
      <c r="X143" s="69"/>
    </row>
    <row r="144" spans="1:24" x14ac:dyDescent="0.3">
      <c r="A144" s="17">
        <v>142</v>
      </c>
      <c r="B144" s="30">
        <v>46065</v>
      </c>
      <c r="C144" s="30">
        <v>46065</v>
      </c>
      <c r="D144" s="19" t="str">
        <f t="shared" si="11"/>
        <v>Feb , 2026</v>
      </c>
      <c r="E144" s="25"/>
      <c r="F144" s="25" t="s">
        <v>199</v>
      </c>
      <c r="G144" s="25" t="s">
        <v>59</v>
      </c>
      <c r="H144" s="25" t="s">
        <v>55</v>
      </c>
      <c r="I144" s="25" t="s">
        <v>56</v>
      </c>
      <c r="J144" s="25" t="s">
        <v>208</v>
      </c>
      <c r="K144" s="25" t="s">
        <v>13</v>
      </c>
      <c r="L144" s="26">
        <v>300</v>
      </c>
      <c r="M144" s="26"/>
      <c r="N144" s="35">
        <f t="shared" si="9"/>
        <v>300</v>
      </c>
      <c r="O144" s="26"/>
      <c r="P144" s="26"/>
      <c r="Q144" s="26"/>
      <c r="R144" s="36">
        <f t="shared" si="10"/>
        <v>300</v>
      </c>
      <c r="S144" s="27">
        <v>300</v>
      </c>
      <c r="T144" s="24">
        <f t="shared" si="12"/>
        <v>0</v>
      </c>
      <c r="U144" s="25"/>
      <c r="V144" s="69"/>
      <c r="W144" s="69"/>
      <c r="X144" s="69"/>
    </row>
    <row r="145" spans="1:24" x14ac:dyDescent="0.3">
      <c r="A145" s="17">
        <v>143</v>
      </c>
      <c r="B145" s="30">
        <v>46068</v>
      </c>
      <c r="C145" s="30">
        <v>46068</v>
      </c>
      <c r="D145" s="19" t="str">
        <f t="shared" si="11"/>
        <v>Feb , 2026</v>
      </c>
      <c r="E145" s="25"/>
      <c r="F145" s="25" t="s">
        <v>94</v>
      </c>
      <c r="G145" s="25" t="s">
        <v>59</v>
      </c>
      <c r="H145" s="25" t="s">
        <v>55</v>
      </c>
      <c r="I145" s="25" t="s">
        <v>56</v>
      </c>
      <c r="J145" s="25" t="s">
        <v>95</v>
      </c>
      <c r="K145" s="25" t="s">
        <v>2</v>
      </c>
      <c r="L145" s="26">
        <v>520</v>
      </c>
      <c r="M145" s="26"/>
      <c r="N145" s="35">
        <f t="shared" si="9"/>
        <v>520</v>
      </c>
      <c r="O145" s="26"/>
      <c r="P145" s="26"/>
      <c r="Q145" s="26"/>
      <c r="R145" s="36">
        <f t="shared" si="10"/>
        <v>520</v>
      </c>
      <c r="S145" s="27">
        <v>520</v>
      </c>
      <c r="T145" s="24">
        <f t="shared" si="12"/>
        <v>0</v>
      </c>
      <c r="U145" s="25"/>
      <c r="V145" s="69"/>
      <c r="W145" s="69"/>
      <c r="X145" s="69"/>
    </row>
    <row r="146" spans="1:24" x14ac:dyDescent="0.3">
      <c r="A146" s="17">
        <v>144</v>
      </c>
      <c r="B146" s="30">
        <v>46056</v>
      </c>
      <c r="C146" s="30">
        <v>46073</v>
      </c>
      <c r="D146" s="19" t="str">
        <f t="shared" si="11"/>
        <v>Feb , 2026</v>
      </c>
      <c r="E146" s="25"/>
      <c r="F146" s="25" t="s">
        <v>209</v>
      </c>
      <c r="G146" s="25" t="s">
        <v>59</v>
      </c>
      <c r="H146" s="25" t="s">
        <v>55</v>
      </c>
      <c r="I146" s="25" t="s">
        <v>56</v>
      </c>
      <c r="J146" s="25" t="s">
        <v>210</v>
      </c>
      <c r="K146" s="25" t="s">
        <v>15</v>
      </c>
      <c r="L146" s="26">
        <v>504</v>
      </c>
      <c r="M146" s="26"/>
      <c r="N146" s="35">
        <f t="shared" si="9"/>
        <v>504</v>
      </c>
      <c r="O146" s="26"/>
      <c r="P146" s="26"/>
      <c r="Q146" s="26"/>
      <c r="R146" s="36">
        <f t="shared" si="10"/>
        <v>504</v>
      </c>
      <c r="S146" s="27">
        <v>504</v>
      </c>
      <c r="T146" s="24">
        <f t="shared" si="12"/>
        <v>0</v>
      </c>
      <c r="U146" s="25"/>
      <c r="V146" s="69"/>
      <c r="W146" s="69"/>
      <c r="X146" s="69"/>
    </row>
    <row r="147" spans="1:24" x14ac:dyDescent="0.3">
      <c r="A147" s="17">
        <v>145</v>
      </c>
      <c r="B147" s="30">
        <v>46079</v>
      </c>
      <c r="C147" s="30">
        <v>46079</v>
      </c>
      <c r="D147" s="19" t="str">
        <f t="shared" si="11"/>
        <v>Feb , 2026</v>
      </c>
      <c r="E147" s="25"/>
      <c r="F147" s="25" t="s">
        <v>94</v>
      </c>
      <c r="G147" s="25" t="s">
        <v>59</v>
      </c>
      <c r="H147" s="25" t="s">
        <v>55</v>
      </c>
      <c r="I147" s="25" t="s">
        <v>56</v>
      </c>
      <c r="J147" s="25" t="s">
        <v>95</v>
      </c>
      <c r="K147" s="25" t="s">
        <v>2</v>
      </c>
      <c r="L147" s="26">
        <v>520</v>
      </c>
      <c r="M147" s="26"/>
      <c r="N147" s="35">
        <f t="shared" si="9"/>
        <v>520</v>
      </c>
      <c r="O147" s="26"/>
      <c r="P147" s="26"/>
      <c r="Q147" s="26"/>
      <c r="R147" s="36">
        <f t="shared" si="10"/>
        <v>520</v>
      </c>
      <c r="S147" s="27">
        <v>520</v>
      </c>
      <c r="T147" s="24">
        <f t="shared" si="12"/>
        <v>0</v>
      </c>
      <c r="U147" s="25"/>
      <c r="V147" s="69"/>
      <c r="W147" s="69"/>
      <c r="X147" s="69"/>
    </row>
    <row r="148" spans="1:24" x14ac:dyDescent="0.3">
      <c r="A148" s="17">
        <v>146</v>
      </c>
      <c r="B148" s="30">
        <v>46056</v>
      </c>
      <c r="C148" s="30">
        <v>46097</v>
      </c>
      <c r="D148" s="19" t="str">
        <f t="shared" si="11"/>
        <v>Feb , 2026</v>
      </c>
      <c r="E148" s="25"/>
      <c r="F148" s="25" t="s">
        <v>209</v>
      </c>
      <c r="G148" s="25" t="s">
        <v>59</v>
      </c>
      <c r="H148" s="25" t="s">
        <v>55</v>
      </c>
      <c r="I148" s="25" t="s">
        <v>56</v>
      </c>
      <c r="J148" s="25" t="s">
        <v>211</v>
      </c>
      <c r="K148" s="25" t="s">
        <v>15</v>
      </c>
      <c r="L148" s="26">
        <v>434</v>
      </c>
      <c r="M148" s="26"/>
      <c r="N148" s="35">
        <f t="shared" si="9"/>
        <v>434</v>
      </c>
      <c r="O148" s="26"/>
      <c r="P148" s="26"/>
      <c r="Q148" s="26"/>
      <c r="R148" s="36">
        <f t="shared" si="10"/>
        <v>434</v>
      </c>
      <c r="S148" s="27">
        <v>434</v>
      </c>
      <c r="T148" s="24">
        <f t="shared" si="12"/>
        <v>0</v>
      </c>
      <c r="U148" s="25"/>
      <c r="V148" s="69"/>
      <c r="W148" s="69"/>
      <c r="X148" s="69"/>
    </row>
    <row r="149" spans="1:24" x14ac:dyDescent="0.3">
      <c r="A149" s="17">
        <v>147</v>
      </c>
      <c r="B149" s="30">
        <v>46077</v>
      </c>
      <c r="C149" s="30">
        <v>46106</v>
      </c>
      <c r="D149" s="19" t="str">
        <f t="shared" si="11"/>
        <v>Feb , 2026</v>
      </c>
      <c r="E149" s="25"/>
      <c r="F149" s="25" t="s">
        <v>212</v>
      </c>
      <c r="G149" s="25" t="s">
        <v>161</v>
      </c>
      <c r="H149" s="25" t="s">
        <v>55</v>
      </c>
      <c r="I149" s="25" t="s">
        <v>56</v>
      </c>
      <c r="J149" s="25" t="s">
        <v>213</v>
      </c>
      <c r="K149" s="25" t="s">
        <v>204</v>
      </c>
      <c r="L149" s="26">
        <v>900</v>
      </c>
      <c r="M149" s="26"/>
      <c r="N149" s="35">
        <f t="shared" si="9"/>
        <v>900</v>
      </c>
      <c r="O149" s="26"/>
      <c r="P149" s="26"/>
      <c r="Q149" s="26"/>
      <c r="R149" s="36">
        <f t="shared" si="10"/>
        <v>900</v>
      </c>
      <c r="S149" s="27">
        <v>900</v>
      </c>
      <c r="T149" s="24">
        <f t="shared" si="12"/>
        <v>0</v>
      </c>
      <c r="U149" s="25"/>
      <c r="V149" s="69"/>
      <c r="W149" s="69"/>
      <c r="X149" s="69"/>
    </row>
    <row r="150" spans="1:24" x14ac:dyDescent="0.3">
      <c r="A150" s="17">
        <v>148</v>
      </c>
      <c r="B150" s="30">
        <v>46077</v>
      </c>
      <c r="C150" s="67">
        <v>46110</v>
      </c>
      <c r="D150" s="19" t="str">
        <f t="shared" si="11"/>
        <v>Feb , 2026</v>
      </c>
      <c r="E150" s="25"/>
      <c r="F150" s="25" t="s">
        <v>161</v>
      </c>
      <c r="G150" s="25" t="s">
        <v>59</v>
      </c>
      <c r="H150" s="25" t="s">
        <v>55</v>
      </c>
      <c r="I150" s="25" t="s">
        <v>56</v>
      </c>
      <c r="J150" s="25" t="s">
        <v>214</v>
      </c>
      <c r="K150" s="25" t="s">
        <v>13</v>
      </c>
      <c r="L150" s="26">
        <v>1000</v>
      </c>
      <c r="M150" s="26"/>
      <c r="N150" s="35">
        <f t="shared" si="9"/>
        <v>1000</v>
      </c>
      <c r="O150" s="26"/>
      <c r="P150" s="26"/>
      <c r="Q150" s="26"/>
      <c r="R150" s="36">
        <f t="shared" si="10"/>
        <v>1000</v>
      </c>
      <c r="S150" s="27">
        <v>1000</v>
      </c>
      <c r="T150" s="24">
        <f t="shared" si="12"/>
        <v>0</v>
      </c>
      <c r="U150" s="25"/>
      <c r="V150" s="69"/>
      <c r="W150" s="69"/>
      <c r="X150" s="69"/>
    </row>
    <row r="151" spans="1:24" x14ac:dyDescent="0.3">
      <c r="A151" s="17">
        <v>149</v>
      </c>
      <c r="B151" s="30">
        <v>46077</v>
      </c>
      <c r="C151" s="67">
        <v>46110</v>
      </c>
      <c r="D151" s="19" t="str">
        <f t="shared" si="11"/>
        <v>Feb , 2026</v>
      </c>
      <c r="E151" s="25"/>
      <c r="F151" s="25" t="s">
        <v>161</v>
      </c>
      <c r="G151" s="25" t="s">
        <v>59</v>
      </c>
      <c r="H151" s="25" t="s">
        <v>55</v>
      </c>
      <c r="I151" s="25" t="s">
        <v>56</v>
      </c>
      <c r="J151" s="25" t="s">
        <v>95</v>
      </c>
      <c r="K151" s="25" t="s">
        <v>2</v>
      </c>
      <c r="L151" s="26">
        <v>500</v>
      </c>
      <c r="M151" s="26"/>
      <c r="N151" s="35">
        <f t="shared" si="9"/>
        <v>500</v>
      </c>
      <c r="O151" s="26"/>
      <c r="P151" s="26"/>
      <c r="Q151" s="26"/>
      <c r="R151" s="36">
        <f t="shared" si="10"/>
        <v>500</v>
      </c>
      <c r="S151" s="27">
        <v>500</v>
      </c>
      <c r="T151" s="24">
        <f t="shared" si="12"/>
        <v>0</v>
      </c>
      <c r="U151" s="25"/>
      <c r="V151" s="69"/>
      <c r="W151" s="69"/>
      <c r="X151" s="69"/>
    </row>
    <row r="152" spans="1:24" x14ac:dyDescent="0.3">
      <c r="A152" s="17"/>
      <c r="B152" s="30"/>
      <c r="C152" s="30"/>
      <c r="D152" s="19"/>
      <c r="E152" s="25"/>
      <c r="F152" s="25"/>
      <c r="G152" s="25"/>
      <c r="H152" s="25"/>
      <c r="I152" s="25"/>
      <c r="J152" s="25"/>
      <c r="K152" s="25"/>
      <c r="L152" s="26"/>
      <c r="M152" s="26"/>
      <c r="N152" s="35"/>
      <c r="O152" s="26"/>
      <c r="P152" s="26"/>
      <c r="Q152" s="26"/>
      <c r="R152" s="36"/>
      <c r="S152" s="27"/>
      <c r="T152" s="24"/>
      <c r="U152" s="25"/>
      <c r="V152" s="69"/>
      <c r="W152" s="69"/>
      <c r="X152" s="69"/>
    </row>
    <row r="153" spans="1:24" x14ac:dyDescent="0.3">
      <c r="A153" s="17"/>
      <c r="B153" s="30"/>
      <c r="C153" s="30"/>
      <c r="D153" s="19"/>
      <c r="E153" s="25"/>
      <c r="F153" s="25"/>
      <c r="G153" s="25"/>
      <c r="H153" s="25"/>
      <c r="I153" s="25"/>
      <c r="J153" s="25"/>
      <c r="K153" s="25"/>
      <c r="L153" s="26"/>
      <c r="M153" s="26"/>
      <c r="N153" s="35"/>
      <c r="O153" s="26"/>
      <c r="P153" s="26"/>
      <c r="Q153" s="26"/>
      <c r="R153" s="36"/>
      <c r="S153" s="27"/>
      <c r="T153" s="24"/>
      <c r="U153" s="25"/>
      <c r="V153" s="69"/>
      <c r="W153" s="69"/>
      <c r="X153" s="69"/>
    </row>
  </sheetData>
  <mergeCells count="1">
    <mergeCell ref="A1:K1"/>
  </mergeCells>
  <pageMargins left="0.7" right="0.7" top="0.75" bottom="0.75" header="0.3" footer="0.3"/>
  <pageSetup paperSize="9" orientation="portrait" horizontalDpi="4294967293" verticalDpi="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[1]Head!#REF!</xm:f>
          </x14:formula1>
          <xm:sqref>K106:K153 K3:K104</xm:sqref>
        </x14:dataValidation>
        <x14:dataValidation type="list" allowBlank="1" showInputMessage="1" showErrorMessage="1">
          <x14:formula1>
            <xm:f>[1]Head!#REF!</xm:f>
          </x14:formula1>
          <xm:sqref>G106:G153 G3:G104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9"/>
  <sheetViews>
    <sheetView workbookViewId="0">
      <selection activeCell="C25" sqref="C25"/>
    </sheetView>
  </sheetViews>
  <sheetFormatPr defaultRowHeight="14.4" x14ac:dyDescent="0.3"/>
  <cols>
    <col min="1" max="1" width="19.21875" bestFit="1" customWidth="1"/>
    <col min="2" max="2" width="16" bestFit="1" customWidth="1"/>
    <col min="13" max="13" width="16.44140625" bestFit="1" customWidth="1"/>
    <col min="14" max="14" width="24.33203125" bestFit="1" customWidth="1"/>
  </cols>
  <sheetData>
    <row r="1" spans="1:14" x14ac:dyDescent="0.3">
      <c r="A1" s="79" t="s">
        <v>0</v>
      </c>
      <c r="B1" s="80" t="s">
        <v>16</v>
      </c>
    </row>
    <row r="2" spans="1:14" x14ac:dyDescent="0.3">
      <c r="A2" s="75" t="s">
        <v>192</v>
      </c>
      <c r="B2" s="81">
        <v>69000</v>
      </c>
    </row>
    <row r="3" spans="1:14" x14ac:dyDescent="0.3">
      <c r="A3" s="75" t="s">
        <v>192</v>
      </c>
      <c r="B3" s="82">
        <v>82800</v>
      </c>
      <c r="M3" s="76" t="s">
        <v>178</v>
      </c>
      <c r="N3" s="1" t="s">
        <v>193</v>
      </c>
    </row>
    <row r="4" spans="1:14" x14ac:dyDescent="0.3">
      <c r="A4" s="75" t="s">
        <v>192</v>
      </c>
      <c r="B4" s="81">
        <v>690000</v>
      </c>
      <c r="M4" s="1" t="s">
        <v>2</v>
      </c>
      <c r="N4" s="77">
        <v>116960.48999999999</v>
      </c>
    </row>
    <row r="5" spans="1:14" x14ac:dyDescent="0.3">
      <c r="A5" s="78" t="s">
        <v>2</v>
      </c>
      <c r="B5" s="77">
        <v>41100</v>
      </c>
      <c r="M5" s="1" t="s">
        <v>3</v>
      </c>
      <c r="N5" s="77">
        <v>647500</v>
      </c>
    </row>
    <row r="6" spans="1:14" x14ac:dyDescent="0.3">
      <c r="A6" s="78" t="s">
        <v>2</v>
      </c>
      <c r="B6" s="77">
        <v>400</v>
      </c>
      <c r="M6" s="1" t="s">
        <v>5</v>
      </c>
      <c r="N6" s="77">
        <v>199121.81</v>
      </c>
    </row>
    <row r="7" spans="1:14" x14ac:dyDescent="0.3">
      <c r="A7" s="78" t="s">
        <v>2</v>
      </c>
      <c r="B7" s="77">
        <v>630</v>
      </c>
      <c r="M7" s="1" t="s">
        <v>192</v>
      </c>
      <c r="N7" s="77">
        <v>841800</v>
      </c>
    </row>
    <row r="8" spans="1:14" x14ac:dyDescent="0.3">
      <c r="A8" s="78" t="s">
        <v>2</v>
      </c>
      <c r="B8" s="77">
        <v>6400</v>
      </c>
      <c r="M8" s="1" t="s">
        <v>179</v>
      </c>
      <c r="N8" s="77">
        <v>1805382.3</v>
      </c>
    </row>
    <row r="9" spans="1:14" x14ac:dyDescent="0.3">
      <c r="A9" s="78" t="s">
        <v>2</v>
      </c>
      <c r="B9" s="77">
        <v>12170</v>
      </c>
    </row>
    <row r="10" spans="1:14" x14ac:dyDescent="0.3">
      <c r="A10" s="78" t="s">
        <v>2</v>
      </c>
      <c r="B10" s="77">
        <v>41849.49</v>
      </c>
    </row>
    <row r="11" spans="1:14" x14ac:dyDescent="0.3">
      <c r="A11" s="78" t="s">
        <v>2</v>
      </c>
      <c r="B11" s="77">
        <v>14411</v>
      </c>
    </row>
    <row r="12" spans="1:14" x14ac:dyDescent="0.3">
      <c r="A12" s="78" t="s">
        <v>5</v>
      </c>
      <c r="B12" s="77">
        <v>61693</v>
      </c>
    </row>
    <row r="13" spans="1:14" x14ac:dyDescent="0.3">
      <c r="A13" s="78" t="s">
        <v>5</v>
      </c>
      <c r="B13" s="77">
        <v>76000</v>
      </c>
    </row>
    <row r="14" spans="1:14" x14ac:dyDescent="0.3">
      <c r="A14" s="78" t="s">
        <v>5</v>
      </c>
      <c r="B14" s="77">
        <v>44428.81</v>
      </c>
    </row>
    <row r="15" spans="1:14" x14ac:dyDescent="0.3">
      <c r="A15" s="78" t="s">
        <v>5</v>
      </c>
      <c r="B15" s="77">
        <v>17000</v>
      </c>
    </row>
    <row r="16" spans="1:14" x14ac:dyDescent="0.3">
      <c r="A16" s="78" t="s">
        <v>3</v>
      </c>
      <c r="B16" s="77">
        <v>267500</v>
      </c>
    </row>
    <row r="17" spans="1:2" x14ac:dyDescent="0.3">
      <c r="A17" s="78" t="s">
        <v>3</v>
      </c>
      <c r="B17" s="77">
        <v>175000</v>
      </c>
    </row>
    <row r="18" spans="1:2" x14ac:dyDescent="0.3">
      <c r="A18" s="78" t="s">
        <v>3</v>
      </c>
      <c r="B18" s="77">
        <v>175000</v>
      </c>
    </row>
    <row r="19" spans="1:2" x14ac:dyDescent="0.3">
      <c r="A19" s="78" t="s">
        <v>3</v>
      </c>
      <c r="B19" s="77">
        <v>30000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Po&amp;Project Status</vt:lpstr>
      <vt:lpstr>Pay</vt:lpstr>
      <vt:lpstr>Daily Expense</vt:lpstr>
      <vt:lpstr>Pivot</vt:lpstr>
      <vt:lpstr>21 March</vt:lpstr>
      <vt:lpstr>Sheet4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arpit</dc:creator>
  <cp:lastModifiedBy>arpit</cp:lastModifiedBy>
  <dcterms:created xsi:type="dcterms:W3CDTF">2026-03-12T05:40:44Z</dcterms:created>
  <dcterms:modified xsi:type="dcterms:W3CDTF">2026-04-22T10:50:03Z</dcterms:modified>
</cp:coreProperties>
</file>